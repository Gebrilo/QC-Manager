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Projects" sheetId="2" r:id="rId5"/>
    <sheet state="visible" name="Assumptions" sheetId="3" r:id="rId6"/>
    <sheet state="visible" name="Resources" sheetId="4" r:id="rId7"/>
    <sheet state="visible" name="Tasks" sheetId="5" r:id="rId8"/>
  </sheets>
  <definedNames>
    <definedName hidden="1" localSheetId="4" name="_xlnm._FilterDatabase">Tasks!$A$3:$D$13</definedName>
  </definedNames>
  <calcPr/>
  <extLst>
    <ext uri="GoogleSheetsCustomDataVersion2">
      <go:sheetsCustomData xmlns:go="http://customooxmlschemas.google.com/" r:id="rId9" roundtripDataChecksum="Unxg3j/GwE8Y9MnzSmsPr8OJ6tF4JxOD0ay6ff58qUs="/>
    </ext>
  </extLst>
</workbook>
</file>

<file path=xl/sharedStrings.xml><?xml version="1.0" encoding="utf-8"?>
<sst xmlns="http://schemas.openxmlformats.org/spreadsheetml/2006/main" count="260" uniqueCount="171">
  <si>
    <t>QC SCENARIO PLANNING DASHBOARD - MULTI-RESOURCE</t>
  </si>
  <si>
    <t>KEY METRICS OVERVIEW</t>
  </si>
  <si>
    <t>Total Team Size</t>
  </si>
  <si>
    <t>members</t>
  </si>
  <si>
    <t>Total Weekly Capacity</t>
  </si>
  <si>
    <t>hours</t>
  </si>
  <si>
    <t>Average Hourly Rate</t>
  </si>
  <si>
    <t>$</t>
  </si>
  <si>
    <t>Active Projects</t>
  </si>
  <si>
    <t>projects</t>
  </si>
  <si>
    <t>Total Projects Hours</t>
  </si>
  <si>
    <t>Active Tasks</t>
  </si>
  <si>
    <t>tasks</t>
  </si>
  <si>
    <t>Total Task Hours</t>
  </si>
  <si>
    <t>Avg Project Completion</t>
  </si>
  <si>
    <t>%</t>
  </si>
  <si>
    <t>Avg Task Completion</t>
  </si>
  <si>
    <t>RESOURCE UTILIZATION ANALYSIS</t>
  </si>
  <si>
    <t>PROJECT MULTI-RESOURCE BREAKDOWN</t>
  </si>
  <si>
    <t>Resource</t>
  </si>
  <si>
    <t>Level</t>
  </si>
  <si>
    <t>Weekly Capacity</t>
  </si>
  <si>
    <t>Project Hours</t>
  </si>
  <si>
    <t>Active Task Hrs</t>
  </si>
  <si>
    <t>Total Allocated</t>
  </si>
  <si>
    <t>Utilization %</t>
  </si>
  <si>
    <t>Project</t>
  </si>
  <si>
    <t>Total Hours</t>
  </si>
  <si>
    <t>Completion %</t>
  </si>
  <si>
    <t>Status</t>
  </si>
  <si>
    <t>PROJECT PORTFOLIO STATUS</t>
  </si>
  <si>
    <t>Task Hrs Est</t>
  </si>
  <si>
    <t>Task Hrs Done</t>
  </si>
  <si>
    <t>Tasks</t>
  </si>
  <si>
    <t>TASK STATUS SUMMARY</t>
  </si>
  <si>
    <t>Count</t>
  </si>
  <si>
    <t>Done</t>
  </si>
  <si>
    <t>In Progress</t>
  </si>
  <si>
    <t>Backlog</t>
  </si>
  <si>
    <t>Cancelled</t>
  </si>
  <si>
    <t>PROJECT COMPLETION</t>
  </si>
  <si>
    <t>RESOURCE HOURS BREAKDOWN</t>
  </si>
  <si>
    <t>Project Hrs</t>
  </si>
  <si>
    <t>Total</t>
  </si>
  <si>
    <t>Basel</t>
  </si>
  <si>
    <t>Belal</t>
  </si>
  <si>
    <t>Mahmoud</t>
  </si>
  <si>
    <t>Hany</t>
  </si>
  <si>
    <t>Gebril</t>
  </si>
  <si>
    <t>TASKS BY PROJECT</t>
  </si>
  <si>
    <t>TASK DETAILS - QUICK VIEW</t>
  </si>
  <si>
    <t>Task ID</t>
  </si>
  <si>
    <t>Task Name</t>
  </si>
  <si>
    <t>Est Hrs</t>
  </si>
  <si>
    <t>Actual Hrs</t>
  </si>
  <si>
    <t>Due Date</t>
  </si>
  <si>
    <t>TASK SUMMARY METRICS</t>
  </si>
  <si>
    <t>Total Tasks:</t>
  </si>
  <si>
    <t>Tasks Done:</t>
  </si>
  <si>
    <t>Tasks In Progress:</t>
  </si>
  <si>
    <t>Tasks In Backlog:</t>
  </si>
  <si>
    <t>Overall Completion Rate:</t>
  </si>
  <si>
    <t>Total Estimated Hours:</t>
  </si>
  <si>
    <t>Total Actual Hours:</t>
  </si>
  <si>
    <t>Total Hours Variance:</t>
  </si>
  <si>
    <t>PROJECT PORTFOLIO - TASK-DRIVEN TRACKING</t>
  </si>
  <si>
    <t>Projects are containers that aggregate their tasks. All hours and completion calculated from Tasks sheet.</t>
  </si>
  <si>
    <t>Project ID</t>
  </si>
  <si>
    <t>Project Name</t>
  </si>
  <si>
    <t>Total Weight</t>
  </si>
  <si>
    <t>Task Hrs Actual</t>
  </si>
  <si>
    <t>Tasks Done</t>
  </si>
  <si>
    <t>Tasks Total</t>
  </si>
  <si>
    <t>Priority</t>
  </si>
  <si>
    <t>Start Date</t>
  </si>
  <si>
    <t>Target Date</t>
  </si>
  <si>
    <t>PRJ-001</t>
  </si>
  <si>
    <t>CST</t>
  </si>
  <si>
    <t>PRJ-002</t>
  </si>
  <si>
    <t>FRA</t>
  </si>
  <si>
    <t>PRJ-003</t>
  </si>
  <si>
    <t>PPO</t>
  </si>
  <si>
    <t>13-01-2025</t>
  </si>
  <si>
    <t>Projects Total Hours</t>
  </si>
  <si>
    <t>Avg.Completion</t>
  </si>
  <si>
    <t>QC SCENARIO PLANNING - ASSUMPTIONS</t>
  </si>
  <si>
    <t>RESOURCE PRODUCTIVITY RATES</t>
  </si>
  <si>
    <t>Resource Level</t>
  </si>
  <si>
    <t>Project Rate (%/hr)</t>
  </si>
  <si>
    <t>Task Rate (%/hr)</t>
  </si>
  <si>
    <t>Senior QC</t>
  </si>
  <si>
    <t>Mid QC</t>
  </si>
  <si>
    <t>Junior QC</t>
  </si>
  <si>
    <t>TL</t>
  </si>
  <si>
    <t>PROJECT WEIGHT DISTRIBUTION</t>
  </si>
  <si>
    <t>Weight Fill %</t>
  </si>
  <si>
    <t>Description</t>
  </si>
  <si>
    <t>Senior fills 70% of project weight</t>
  </si>
  <si>
    <t>Mid fills 50% of project weight</t>
  </si>
  <si>
    <t>Junior fills 30% of project weight</t>
  </si>
  <si>
    <t>TL fills 90% of project weight</t>
  </si>
  <si>
    <t>WORKING HOURS ASSUMPTIONS</t>
  </si>
  <si>
    <t>Hours per Day</t>
  </si>
  <si>
    <t>Working Days per Week</t>
  </si>
  <si>
    <t>QC RESOURCES</t>
  </si>
  <si>
    <t>Resource Name</t>
  </si>
  <si>
    <t>Hourly Rate ($)</t>
  </si>
  <si>
    <t>Weight Fill</t>
  </si>
  <si>
    <t>Availability (hrs/week)</t>
  </si>
  <si>
    <t>Senior</t>
  </si>
  <si>
    <t>Mid</t>
  </si>
  <si>
    <t>Junior</t>
  </si>
  <si>
    <t>TEAM SUMMARY</t>
  </si>
  <si>
    <t>Total Team Size:</t>
  </si>
  <si>
    <t>Total Weekly Hours:</t>
  </si>
  <si>
    <t>Average Hourly Rate:</t>
  </si>
  <si>
    <t>DYNAMIC TASK MANAGEMENT - STATUS &amp; PERFORMANCE TRACKING</t>
  </si>
  <si>
    <t>Track task status (Backlog/In Progress/Done), actual hours, and performance. Only ACTIVE tasks count toward utilization.</t>
  </si>
  <si>
    <t>Required Hours</t>
  </si>
  <si>
    <t>Days</t>
  </si>
  <si>
    <t>Resource 1</t>
  </si>
  <si>
    <t>R1 Est Hrs</t>
  </si>
  <si>
    <t>R1 Actual Hrs</t>
  </si>
  <si>
    <t>Resource 2</t>
  </si>
  <si>
    <t>R2 Est Hrs</t>
  </si>
  <si>
    <t>R2 Actual Hrs</t>
  </si>
  <si>
    <t>Total Est</t>
  </si>
  <si>
    <t>Total Actual</t>
  </si>
  <si>
    <t>Est Completion</t>
  </si>
  <si>
    <t>Actual Completion</t>
  </si>
  <si>
    <t>Hours Variance</t>
  </si>
  <si>
    <t>Efficiency %</t>
  </si>
  <si>
    <t>Completed Date</t>
  </si>
  <si>
    <t>Dependencies</t>
  </si>
  <si>
    <t>TASK SUMMARY</t>
  </si>
  <si>
    <t>TSK-001</t>
  </si>
  <si>
    <t>Mobile View Testing Cycle</t>
  </si>
  <si>
    <t>Medium</t>
  </si>
  <si>
    <t>None</t>
  </si>
  <si>
    <t>HOW IT WORKS:</t>
  </si>
  <si>
    <t>TSK-002</t>
  </si>
  <si>
    <t>حذف اسم المفوض</t>
  </si>
  <si>
    <t>Total Required Hours:</t>
  </si>
  <si>
    <t>Required Hours = Total work needed (e.g., 24 hrs = 3 days)</t>
  </si>
  <si>
    <t>TSK-003</t>
  </si>
  <si>
    <t>missing punch updates</t>
  </si>
  <si>
    <t>High</t>
  </si>
  <si>
    <t>Total Allocated Hours:</t>
  </si>
  <si>
    <t>Allocated Hours = Sum of hours from Resource 1 + Resource 2</t>
  </si>
  <si>
    <t>TSK-004</t>
  </si>
  <si>
    <t>إجازة متعاقدين</t>
  </si>
  <si>
    <t>Average Completion:</t>
  </si>
  <si>
    <t>Completion % = Allocated / Required (100% = done)</t>
  </si>
  <si>
    <t>TSK-005</t>
  </si>
  <si>
    <t>إشعارات + تقرير تعليم الأبناء</t>
  </si>
  <si>
    <t>Tasks Complete:</t>
  </si>
  <si>
    <t>Hours Remaining = Required - Allocated (negative = surplus)</t>
  </si>
  <si>
    <t>TSK-006</t>
  </si>
  <si>
    <t>إشعارات السحب الطلب</t>
  </si>
  <si>
    <t>Tasks Cancel:</t>
  </si>
  <si>
    <t>Days = Required Hours / 8 (from Assumptions)</t>
  </si>
  <si>
    <t>TSK-007</t>
  </si>
  <si>
    <t>طلب خارج الدوام متعقدين 
طلب دفع خارج الدوام متعقدين
طلب إلغاء خارج الدوام متعقدين</t>
  </si>
  <si>
    <t>Critical</t>
  </si>
  <si>
    <t>Task Active:</t>
  </si>
  <si>
    <t>TSK-008</t>
  </si>
  <si>
    <t>Portal | Law Services Testing Cycle</t>
  </si>
  <si>
    <t>TSK-009</t>
  </si>
  <si>
    <t>عدم الاستفادة من الخدمات</t>
  </si>
  <si>
    <t>TSk-010</t>
  </si>
  <si>
    <t>خدمة إلغاء سلفة شخصية (سداد مبكر)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</si>
</sst>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"/>
    <numFmt numFmtId="165" formatCode="\$#,##0"/>
    <numFmt numFmtId="166" formatCode="0.0%"/>
    <numFmt numFmtId="167" formatCode="yyyy\-mm\-dd"/>
    <numFmt numFmtId="168" formatCode="m/d/yyyy"/>
    <numFmt numFmtId="169" formatCode="mm\-dd\-yyyy"/>
    <numFmt numFmtId="170" formatCode="mm-dd-yyyy"/>
  </numFmts>
  <fonts count="19">
    <font>
      <sz val="11.0"/>
      <color theme="1"/>
      <name val="Calibri"/>
      <scheme val="minor"/>
    </font>
    <font>
      <b/>
      <sz val="16.0"/>
      <color rgb="FFFFFFFF"/>
      <name val="Cambria"/>
    </font>
    <font/>
    <font>
      <sz val="11.0"/>
      <color theme="1"/>
      <name val="Calibri"/>
    </font>
    <font>
      <b/>
      <sz val="12.0"/>
      <color rgb="FFFFFFFF"/>
      <name val="Cambria"/>
    </font>
    <font>
      <b/>
      <sz val="11.0"/>
      <color theme="1"/>
      <name val="Cambria"/>
    </font>
    <font>
      <b/>
      <sz val="11.0"/>
      <color rgb="FF0000FF"/>
      <name val="Cambria"/>
    </font>
    <font>
      <i/>
      <sz val="11.0"/>
      <color rgb="FF666666"/>
      <name val="Cambria"/>
    </font>
    <font>
      <b/>
      <sz val="11.0"/>
      <color rgb="FFFFFFFF"/>
      <name val="Cambria"/>
    </font>
    <font>
      <b/>
      <sz val="11.0"/>
      <color rgb="FFFF6600"/>
      <name val="Cambria"/>
    </font>
    <font>
      <b/>
      <sz val="14.0"/>
      <color rgb="FFFFFFFF"/>
      <name val="Cambria"/>
    </font>
    <font>
      <i/>
      <sz val="10.0"/>
      <color rgb="FF666666"/>
      <name val="Cambria"/>
    </font>
    <font>
      <color theme="1"/>
      <name val="Calibri"/>
      <scheme val="minor"/>
    </font>
    <font>
      <b/>
      <sz val="11.0"/>
      <color rgb="FF008000"/>
      <name val="Cambria"/>
    </font>
    <font>
      <sz val="11.0"/>
      <color theme="1"/>
      <name val="FreeSans"/>
    </font>
    <font>
      <i/>
      <sz val="9.0"/>
      <color theme="1"/>
      <name val="Cambria"/>
    </font>
    <font>
      <b/>
      <sz val="11.0"/>
      <color rgb="FFFF9900"/>
      <name val="Cambria"/>
    </font>
    <font>
      <b/>
      <sz val="11.0"/>
      <color rgb="FF000000"/>
      <name val="Cambria"/>
    </font>
    <font>
      <b/>
      <sz val="11.0"/>
      <color rgb="FFFF0000"/>
      <name val="Cambria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FF6600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4" fillId="0" fontId="5" numFmtId="0" xfId="0" applyAlignment="1" applyBorder="1" applyFont="1">
      <alignment vertical="bottom"/>
    </xf>
    <xf borderId="4" fillId="0" fontId="6" numFmtId="164" xfId="0" applyAlignment="1" applyBorder="1" applyFont="1" applyNumberFormat="1">
      <alignment vertical="bottom"/>
    </xf>
    <xf borderId="4" fillId="0" fontId="7" numFmtId="0" xfId="0" applyAlignment="1" applyBorder="1" applyFont="1">
      <alignment vertical="bottom"/>
    </xf>
    <xf borderId="4" fillId="0" fontId="6" numFmtId="165" xfId="0" applyAlignment="1" applyBorder="1" applyFont="1" applyNumberFormat="1">
      <alignment vertical="bottom"/>
    </xf>
    <xf borderId="4" fillId="0" fontId="5" numFmtId="0" xfId="0" applyAlignment="1" applyBorder="1" applyFont="1">
      <alignment readingOrder="0" vertical="bottom"/>
    </xf>
    <xf borderId="4" fillId="0" fontId="6" numFmtId="166" xfId="0" applyAlignment="1" applyBorder="1" applyFont="1" applyNumberFormat="1">
      <alignment vertical="bottom"/>
    </xf>
    <xf borderId="5" fillId="3" fontId="8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vertical="bottom"/>
    </xf>
    <xf borderId="4" fillId="0" fontId="5" numFmtId="166" xfId="0" applyAlignment="1" applyBorder="1" applyFont="1" applyNumberFormat="1">
      <alignment vertical="bottom"/>
    </xf>
    <xf borderId="4" fillId="0" fontId="3" numFmtId="166" xfId="0" applyAlignment="1" applyBorder="1" applyFont="1" applyNumberFormat="1">
      <alignment vertical="bottom"/>
    </xf>
    <xf borderId="1" fillId="2" fontId="8" numFmtId="0" xfId="0" applyAlignment="1" applyBorder="1" applyFont="1">
      <alignment vertical="bottom"/>
    </xf>
    <xf borderId="6" fillId="4" fontId="5" numFmtId="0" xfId="0" applyAlignment="1" applyBorder="1" applyFill="1" applyFont="1">
      <alignment vertical="bottom"/>
    </xf>
    <xf borderId="1" fillId="5" fontId="8" numFmtId="0" xfId="0" applyAlignment="1" applyBorder="1" applyFill="1" applyFont="1">
      <alignment vertical="bottom"/>
    </xf>
    <xf borderId="4" fillId="0" fontId="9" numFmtId="166" xfId="0" applyAlignment="1" applyBorder="1" applyFont="1" applyNumberFormat="1">
      <alignment vertical="bottom"/>
    </xf>
    <xf borderId="5" fillId="4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3" fontId="8" numFmtId="0" xfId="0" applyAlignment="1" applyBorder="1" applyFont="1">
      <alignment vertical="bottom"/>
    </xf>
    <xf borderId="0" fillId="0" fontId="3" numFmtId="9" xfId="0" applyAlignment="1" applyFont="1" applyNumberFormat="1">
      <alignment vertical="bottom"/>
    </xf>
    <xf borderId="1" fillId="6" fontId="8" numFmtId="0" xfId="0" applyAlignment="1" applyBorder="1" applyFill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1" fillId="2" fontId="4" numFmtId="0" xfId="0" applyAlignment="1" applyBorder="1" applyFont="1">
      <alignment vertical="bottom"/>
    </xf>
    <xf borderId="0" fillId="0" fontId="3" numFmtId="167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166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  <xf borderId="1" fillId="2" fontId="10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4" fillId="3" fontId="8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vertical="bottom"/>
    </xf>
    <xf borderId="4" fillId="0" fontId="3" numFmtId="168" xfId="0" applyAlignment="1" applyBorder="1" applyFont="1" applyNumberFormat="1">
      <alignment readingOrder="0" vertical="bottom"/>
    </xf>
    <xf borderId="4" fillId="0" fontId="3" numFmtId="167" xfId="0" applyAlignment="1" applyBorder="1" applyFont="1" applyNumberFormat="1">
      <alignment vertical="bottom"/>
    </xf>
    <xf borderId="4" fillId="0" fontId="3" numFmtId="0" xfId="0" applyAlignment="1" applyBorder="1" applyFont="1">
      <alignment readingOrder="0" vertical="bottom"/>
    </xf>
    <xf borderId="0" fillId="0" fontId="12" numFmtId="0" xfId="0" applyAlignment="1" applyFont="1">
      <alignment readingOrder="0"/>
    </xf>
    <xf borderId="0" fillId="0" fontId="12" numFmtId="164" xfId="0" applyFont="1" applyNumberFormat="1"/>
    <xf borderId="0" fillId="0" fontId="12" numFmtId="166" xfId="0" applyFont="1" applyNumberFormat="1"/>
    <xf borderId="5" fillId="7" fontId="6" numFmtId="166" xfId="0" applyAlignment="1" applyBorder="1" applyFill="1" applyFont="1" applyNumberFormat="1">
      <alignment vertical="bottom"/>
    </xf>
    <xf borderId="5" fillId="7" fontId="6" numFmtId="166" xfId="0" applyAlignment="1" applyBorder="1" applyFont="1" applyNumberFormat="1">
      <alignment readingOrder="0" vertical="bottom"/>
    </xf>
    <xf borderId="5" fillId="7" fontId="6" numFmtId="9" xfId="0" applyAlignment="1" applyBorder="1" applyFont="1" applyNumberFormat="1">
      <alignment vertical="bottom"/>
    </xf>
    <xf borderId="5" fillId="7" fontId="6" numFmtId="9" xfId="0" applyAlignment="1" applyBorder="1" applyFont="1" applyNumberFormat="1">
      <alignment readingOrder="0" vertical="bottom"/>
    </xf>
    <xf borderId="5" fillId="7" fontId="6" numFmtId="0" xfId="0" applyAlignment="1" applyBorder="1" applyFont="1">
      <alignment vertical="bottom"/>
    </xf>
    <xf borderId="6" fillId="3" fontId="8" numFmtId="0" xfId="0" applyAlignment="1" applyBorder="1" applyFont="1">
      <alignment horizontal="center" vertical="center"/>
    </xf>
    <xf borderId="4" fillId="0" fontId="6" numFmtId="165" xfId="0" applyAlignment="1" applyBorder="1" applyFont="1" applyNumberFormat="1">
      <alignment readingOrder="0" vertical="bottom"/>
    </xf>
    <xf borderId="4" fillId="0" fontId="13" numFmtId="166" xfId="0" applyAlignment="1" applyBorder="1" applyFont="1" applyNumberFormat="1">
      <alignment readingOrder="0" vertical="bottom"/>
    </xf>
    <xf borderId="4" fillId="0" fontId="6" numFmtId="0" xfId="0" applyAlignment="1" applyBorder="1" applyFont="1">
      <alignment readingOrder="0" vertical="bottom"/>
    </xf>
    <xf borderId="4" fillId="0" fontId="13" numFmtId="166" xfId="0" applyAlignment="1" applyBorder="1" applyFont="1" applyNumberFormat="1">
      <alignment vertical="bottom"/>
    </xf>
    <xf borderId="1" fillId="8" fontId="5" numFmtId="0" xfId="0" applyAlignment="1" applyBorder="1" applyFill="1" applyFont="1">
      <alignment vertical="bottom"/>
    </xf>
    <xf borderId="0" fillId="0" fontId="3" numFmtId="165" xfId="0" applyAlignment="1" applyFont="1" applyNumberFormat="1">
      <alignment vertical="bottom"/>
    </xf>
    <xf borderId="4" fillId="0" fontId="13" numFmtId="0" xfId="0" applyAlignment="1" applyBorder="1" applyFont="1">
      <alignment readingOrder="0" vertical="bottom"/>
    </xf>
    <xf borderId="4" fillId="0" fontId="6" numFmtId="164" xfId="0" applyAlignment="1" applyBorder="1" applyFont="1" applyNumberFormat="1">
      <alignment horizontal="right" vertical="bottom"/>
    </xf>
    <xf borderId="4" fillId="0" fontId="6" numFmtId="164" xfId="0" applyAlignment="1" applyBorder="1" applyFont="1" applyNumberFormat="1">
      <alignment horizontal="right" readingOrder="0" vertical="bottom"/>
    </xf>
    <xf borderId="4" fillId="0" fontId="9" numFmtId="164" xfId="0" applyAlignment="1" applyBorder="1" applyFont="1" applyNumberFormat="1">
      <alignment readingOrder="0" vertical="bottom"/>
    </xf>
    <xf borderId="4" fillId="0" fontId="3" numFmtId="167" xfId="0" applyAlignment="1" applyBorder="1" applyFont="1" applyNumberFormat="1">
      <alignment readingOrder="0" vertical="bottom"/>
    </xf>
    <xf borderId="4" fillId="0" fontId="3" numFmtId="169" xfId="0" applyAlignment="1" applyBorder="1" applyFont="1" applyNumberFormat="1">
      <alignment readingOrder="0" vertical="bottom"/>
    </xf>
    <xf borderId="0" fillId="0" fontId="5" numFmtId="0" xfId="0" applyAlignment="1" applyFont="1">
      <alignment horizontal="right" vertical="bottom"/>
    </xf>
    <xf borderId="5" fillId="9" fontId="5" numFmtId="0" xfId="0" applyAlignment="1" applyBorder="1" applyFill="1" applyFont="1">
      <alignment vertical="bottom"/>
    </xf>
    <xf borderId="0" fillId="0" fontId="14" numFmtId="0" xfId="0" applyAlignment="1" applyFont="1">
      <alignment horizontal="right" readingOrder="0" vertical="bottom"/>
    </xf>
    <xf borderId="4" fillId="0" fontId="13" numFmtId="0" xfId="0" applyAlignment="1" applyBorder="1" applyFont="1">
      <alignment vertical="bottom"/>
    </xf>
    <xf borderId="4" fillId="0" fontId="9" numFmtId="164" xfId="0" applyAlignment="1" applyBorder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15" numFmtId="0" xfId="0" applyAlignment="1" applyFont="1">
      <alignment shrinkToFit="0" vertical="bottom" wrapText="0"/>
    </xf>
    <xf borderId="7" fillId="10" fontId="3" numFmtId="0" xfId="0" applyAlignment="1" applyBorder="1" applyFill="1" applyFont="1">
      <alignment vertical="bottom"/>
    </xf>
    <xf borderId="4" fillId="0" fontId="16" numFmtId="0" xfId="0" applyAlignment="1" applyBorder="1" applyFont="1">
      <alignment readingOrder="0" vertical="bottom"/>
    </xf>
    <xf borderId="4" fillId="0" fontId="14" numFmtId="0" xfId="0" applyAlignment="1" applyBorder="1" applyFont="1">
      <alignment horizontal="right" readingOrder="0" vertical="bottom"/>
    </xf>
    <xf borderId="4" fillId="0" fontId="16" numFmtId="0" xfId="0" applyAlignment="1" applyBorder="1" applyFont="1">
      <alignment vertical="bottom"/>
    </xf>
    <xf borderId="0" fillId="0" fontId="5" numFmtId="166" xfId="0" applyAlignment="1" applyFont="1" applyNumberFormat="1">
      <alignment horizontal="right" vertical="bottom"/>
    </xf>
    <xf borderId="0" fillId="0" fontId="15" numFmtId="0" xfId="0" applyAlignment="1" applyFont="1">
      <alignment shrinkToFit="0" vertical="bottom" wrapText="1"/>
    </xf>
    <xf borderId="4" fillId="0" fontId="17" numFmtId="0" xfId="0" applyAlignment="1" applyBorder="1" applyFont="1">
      <alignment vertical="bottom"/>
    </xf>
    <xf borderId="0" fillId="0" fontId="18" numFmtId="0" xfId="0" applyAlignment="1" applyFont="1">
      <alignment horizontal="right" vertical="bottom"/>
    </xf>
    <xf borderId="4" fillId="0" fontId="3" numFmtId="0" xfId="0" applyAlignment="1" applyBorder="1" applyFont="1">
      <alignment readingOrder="0" shrinkToFit="0" vertical="bottom" wrapText="1"/>
    </xf>
    <xf borderId="4" fillId="0" fontId="6" numFmtId="164" xfId="0" applyAlignment="1" applyBorder="1" applyFont="1" applyNumberFormat="1">
      <alignment readingOrder="0" vertical="bottom"/>
    </xf>
    <xf borderId="4" fillId="0" fontId="3" numFmtId="170" xfId="0" applyAlignment="1" applyBorder="1" applyFont="1" applyNumberFormat="1">
      <alignment readingOrder="0" vertical="bottom"/>
    </xf>
    <xf borderId="4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Resource Utilization %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Utilization %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Dashboard!$A$16:$A$20</c:f>
            </c:strRef>
          </c:cat>
          <c:val>
            <c:numRef>
              <c:f>Dashboard!$G$16:$G$19</c:f>
              <c:numCache/>
            </c:numRef>
          </c:val>
        </c:ser>
        <c:axId val="58637718"/>
        <c:axId val="1567909247"/>
      </c:barChart>
      <c:catAx>
        <c:axId val="58637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Resources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67909247"/>
      </c:catAx>
      <c:valAx>
        <c:axId val="1567909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863771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Task Status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Dashboard!$K$25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Dashboard!$J$26:$J$29</c:f>
            </c:strRef>
          </c:cat>
          <c:val>
            <c:numRef>
              <c:f>Dashboard!$K$26:$K$29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Project Completion %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Completion %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Dashboard!$J$33:$J$34</c:f>
            </c:strRef>
          </c:cat>
          <c:val>
            <c:numRef>
              <c:f>Dashboard!$K$33:$K$34</c:f>
              <c:numCache/>
            </c:numRef>
          </c:val>
        </c:ser>
        <c:axId val="1118249610"/>
        <c:axId val="1323105298"/>
      </c:barChart>
      <c:catAx>
        <c:axId val="1118249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23105298"/>
      </c:catAx>
      <c:valAx>
        <c:axId val="1323105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Completion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1824961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Resource Hours by Type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Project Hrs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Dashboard!$J$38:$J$42</c:f>
            </c:strRef>
          </c:cat>
          <c:val>
            <c:numRef>
              <c:f>Dashboard!$K$38:$K$41</c:f>
              <c:numCache/>
            </c:numRef>
          </c:val>
        </c:ser>
        <c:ser>
          <c:idx val="1"/>
          <c:order val="1"/>
          <c:tx>
            <c:v>Active Task Hrs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Dashboard!$J$38:$J$42</c:f>
            </c:strRef>
          </c:cat>
          <c:val>
            <c:numRef>
              <c:f>Dashboard!$L$38:$L$42</c:f>
              <c:numCache/>
            </c:numRef>
          </c:val>
        </c:ser>
        <c:overlap val="100"/>
        <c:axId val="2078562763"/>
        <c:axId val="2061846811"/>
      </c:barChart>
      <c:catAx>
        <c:axId val="2078562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61846811"/>
      </c:catAx>
      <c:valAx>
        <c:axId val="2061846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7856276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Task Status by Project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Done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Dashboard!$J$45:$J$46</c:f>
            </c:strRef>
          </c:cat>
          <c:val>
            <c:numRef>
              <c:f>Dashboard!$K$45:$K$46</c:f>
              <c:numCache/>
            </c:numRef>
          </c:val>
        </c:ser>
        <c:ser>
          <c:idx val="1"/>
          <c:order val="1"/>
          <c:tx>
            <c:v>In Progress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Dashboard!$J$45:$J$46</c:f>
            </c:strRef>
          </c:cat>
          <c:val>
            <c:numRef>
              <c:f>Dashboard!$L$45:$L$47</c:f>
              <c:numCache/>
            </c:numRef>
          </c:val>
        </c:ser>
        <c:ser>
          <c:idx val="2"/>
          <c:order val="2"/>
          <c:tx>
            <c:v>Backlog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Dashboard!$J$45:$J$46</c:f>
            </c:strRef>
          </c:cat>
          <c:val>
            <c:numRef>
              <c:f>Dashboard!$M$45:$M$46</c:f>
              <c:numCache/>
            </c:numRef>
          </c:val>
        </c:ser>
        <c:overlap val="100"/>
        <c:axId val="119349974"/>
        <c:axId val="587039799"/>
      </c:barChart>
      <c:catAx>
        <c:axId val="119349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87039799"/>
      </c:catAx>
      <c:valAx>
        <c:axId val="587039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Number of Tasks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934997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Project Completion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Dashboard!$K$15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4F81BD"/>
              </a:solidFill>
            </c:spPr>
          </c:dPt>
          <c:dPt>
            <c:idx val="3"/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Dashboard!$I$16:$I$19</c:f>
            </c:strRef>
          </c:cat>
          <c:val>
            <c:numRef>
              <c:f>Dashboard!$K$16:$K$19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34</xdr:row>
      <xdr:rowOff>114300</xdr:rowOff>
    </xdr:from>
    <xdr:ext cx="6143625" cy="3781425"/>
    <xdr:graphicFrame>
      <xdr:nvGraphicFramePr>
        <xdr:cNvPr id="5583265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104775</xdr:colOff>
      <xdr:row>59</xdr:row>
      <xdr:rowOff>76200</xdr:rowOff>
    </xdr:from>
    <xdr:ext cx="5391150" cy="2695575"/>
    <xdr:graphicFrame>
      <xdr:nvGraphicFramePr>
        <xdr:cNvPr id="96932533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666750</xdr:colOff>
      <xdr:row>20</xdr:row>
      <xdr:rowOff>142875</xdr:rowOff>
    </xdr:from>
    <xdr:ext cx="5391150" cy="2695575"/>
    <xdr:graphicFrame>
      <xdr:nvGraphicFramePr>
        <xdr:cNvPr id="111059850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666750</xdr:colOff>
      <xdr:row>34</xdr:row>
      <xdr:rowOff>180975</xdr:rowOff>
    </xdr:from>
    <xdr:ext cx="5114925" cy="2695575"/>
    <xdr:graphicFrame>
      <xdr:nvGraphicFramePr>
        <xdr:cNvPr id="451186096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971550</xdr:colOff>
      <xdr:row>59</xdr:row>
      <xdr:rowOff>76200</xdr:rowOff>
    </xdr:from>
    <xdr:ext cx="6457950" cy="3409950"/>
    <xdr:graphicFrame>
      <xdr:nvGraphicFramePr>
        <xdr:cNvPr id="1198532590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16</xdr:col>
      <xdr:colOff>9525</xdr:colOff>
      <xdr:row>5</xdr:row>
      <xdr:rowOff>161925</xdr:rowOff>
    </xdr:from>
    <xdr:ext cx="2562225" cy="2590800"/>
    <xdr:graphicFrame>
      <xdr:nvGraphicFramePr>
        <xdr:cNvPr id="1216454338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29"/>
    <col customWidth="1" min="2" max="2" width="13.0"/>
    <col customWidth="1" min="3" max="3" width="23.14"/>
    <col customWidth="1" min="4" max="4" width="14.71"/>
    <col customWidth="1" min="5" max="5" width="15.86"/>
    <col customWidth="1" min="6" max="6" width="15.57"/>
    <col customWidth="1" min="7" max="7" width="13.86"/>
    <col customWidth="1" min="8" max="8" width="10.86"/>
    <col customWidth="1" min="9" max="9" width="44.43"/>
    <col customWidth="1" min="10" max="10" width="32.29"/>
    <col customWidth="1" min="11" max="11" width="14.71"/>
    <col customWidth="1" min="12" max="12" width="15.86"/>
    <col customWidth="1" min="13" max="13" width="8.71"/>
    <col customWidth="1" min="14" max="19" width="12.0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5" t="s">
        <v>1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6" t="s">
        <v>2</v>
      </c>
      <c r="B4" s="7">
        <f>Resources!B11</f>
        <v>5</v>
      </c>
      <c r="C4" s="8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6" t="s">
        <v>4</v>
      </c>
      <c r="B5" s="7">
        <f>Resources!B12</f>
        <v>160</v>
      </c>
      <c r="C5" s="8" t="s">
        <v>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 t="s">
        <v>6</v>
      </c>
      <c r="B6" s="9">
        <f>Resources!B13</f>
        <v>60</v>
      </c>
      <c r="C6" s="8" t="s">
        <v>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" t="s">
        <v>8</v>
      </c>
      <c r="B7" s="7">
        <f>COUNTA(Projects!A4:A8)</f>
        <v>3</v>
      </c>
      <c r="C7" s="8" t="s">
        <v>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0" t="s">
        <v>10</v>
      </c>
      <c r="B8" s="7">
        <f>Projects!Q9</f>
        <v>71</v>
      </c>
      <c r="C8" s="8" t="s">
        <v>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6" t="s">
        <v>11</v>
      </c>
      <c r="B9" s="7">
        <f>Tasks!Z10</f>
        <v>2</v>
      </c>
      <c r="C9" s="8" t="s">
        <v>12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6" t="s">
        <v>13</v>
      </c>
      <c r="B10" s="7">
        <f>Tasks!Z5</f>
        <v>240</v>
      </c>
      <c r="C10" s="8" t="s">
        <v>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6" t="s">
        <v>14</v>
      </c>
      <c r="B11" s="11">
        <f>Projects!Q10</f>
        <v>0.5492957746</v>
      </c>
      <c r="C11" s="8" t="s">
        <v>15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6" t="s">
        <v>16</v>
      </c>
      <c r="B12" s="11">
        <f>Tasks!Z7</f>
        <v>0.84375</v>
      </c>
      <c r="C12" s="8" t="s">
        <v>15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5" t="s">
        <v>17</v>
      </c>
      <c r="B14" s="2"/>
      <c r="C14" s="2"/>
      <c r="D14" s="2"/>
      <c r="E14" s="2"/>
      <c r="F14" s="2"/>
      <c r="G14" s="3"/>
      <c r="H14" s="4"/>
      <c r="I14" s="5" t="s">
        <v>18</v>
      </c>
      <c r="J14" s="2"/>
      <c r="K14" s="2"/>
      <c r="L14" s="2"/>
      <c r="M14" s="2"/>
      <c r="N14" s="2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2" t="s">
        <v>19</v>
      </c>
      <c r="B15" s="12" t="s">
        <v>20</v>
      </c>
      <c r="C15" s="12" t="s">
        <v>21</v>
      </c>
      <c r="D15" s="12" t="s">
        <v>22</v>
      </c>
      <c r="E15" s="12" t="s">
        <v>23</v>
      </c>
      <c r="F15" s="12" t="s">
        <v>24</v>
      </c>
      <c r="G15" s="12" t="s">
        <v>25</v>
      </c>
      <c r="H15" s="4"/>
      <c r="I15" s="12" t="s">
        <v>26</v>
      </c>
      <c r="J15" s="12" t="s">
        <v>27</v>
      </c>
      <c r="K15" s="12" t="s">
        <v>28</v>
      </c>
      <c r="L15" s="12" t="s">
        <v>29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0" customHeight="1">
      <c r="A16" s="13" t="str">
        <f>Resources!A5</f>
        <v>Basel</v>
      </c>
      <c r="B16" s="13" t="str">
        <f>Resources!B5</f>
        <v>Senior</v>
      </c>
      <c r="C16" s="14">
        <f>Resources!G5</f>
        <v>40</v>
      </c>
      <c r="D16" s="14">
        <f>SUMIF(Projects!$D$4:$D$8,A16,Projects!$E$4:$E$8)+SUMIF(Projects!$H$4:$H$8,A16,Projects!$I$4:$I$8)+SUMIF(Projects!$L$4:$L$8,A16,Projects!$M$4:$M$8)+SUMIF(Projects!$P$4:$P$8,A16,Projects!$Q$4:$Q$8)</f>
        <v>0</v>
      </c>
      <c r="E16" s="14">
        <f>SUMIFS(Tasks!$H$4:$H$12,Tasks!$G$4:$G$12,A16,Tasks!$D$4:$D$12,"Backlog")+SUMIFS(Tasks!$H$4:$H$12,Tasks!$G$4:$G$12,A16,Tasks!$D$4:$D$12,"In Progress")+SUMIFS(Tasks!$K$4:$K$12,Tasks!$J$4:$J$12,A16,Tasks!$D$4:$D$12,"Backlog")+SUMIFS(Tasks!$K$4:$K$12,Tasks!$J$4:$J$12,A16,Tasks!$D$4:$D$12,"In Progress")</f>
        <v>0</v>
      </c>
      <c r="F16" s="14">
        <f t="shared" ref="F16:F20" si="1">D16+E16</f>
        <v>0</v>
      </c>
      <c r="G16" s="15">
        <f t="shared" ref="G16:G20" si="2">F16/C16</f>
        <v>0</v>
      </c>
      <c r="H16" s="4"/>
      <c r="I16" s="13" t="str">
        <f>Projects!B4</f>
        <v>CST</v>
      </c>
      <c r="J16" s="14">
        <f>Projects!D4</f>
        <v>71</v>
      </c>
      <c r="K16" s="16">
        <f>Projects!G4</f>
        <v>0.6478873239</v>
      </c>
      <c r="L16" s="13" t="str">
        <f>Projects!J4</f>
        <v>At Risk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0" customHeight="1">
      <c r="A17" s="13" t="str">
        <f>Resources!A6</f>
        <v>Belal</v>
      </c>
      <c r="B17" s="13" t="str">
        <f>Resources!B6</f>
        <v>Mid</v>
      </c>
      <c r="C17" s="14">
        <f>Resources!G6</f>
        <v>40</v>
      </c>
      <c r="D17" s="14">
        <f>SUMIF(Projects!$D$4:$D$8,A17,Projects!$E$4:$E$8)+SUMIF(Projects!$H$4:$H$8,A17,Projects!$I$4:$I$8)+SUMIF(Projects!$L$4:$L$8,A17,Projects!$M$4:$M$8)+SUMIF(Projects!$P$4:$P$8,A17,Projects!$Q$4:$Q$8)</f>
        <v>0</v>
      </c>
      <c r="E17" s="14">
        <f>SUMIFS(Tasks!$H$4:$H$12,Tasks!$G$4:$G$12,A17,Tasks!$D$4:$D$12,"Backlog")+SUMIFS(Tasks!$H$4:$H$12,Tasks!$G$4:$G$12,A17,Tasks!$D$4:$D$12,"In Progress")+SUMIFS(Tasks!$K$4:$K$12,Tasks!$J$4:$J$12,A17,Tasks!$D$4:$D$12,"Backlog")+SUMIFS(Tasks!$K$4:$K$12,Tasks!$J$4:$J$12,A17,Tasks!$D$4:$D$12,"In Progress")</f>
        <v>8</v>
      </c>
      <c r="F17" s="14">
        <f t="shared" si="1"/>
        <v>8</v>
      </c>
      <c r="G17" s="15">
        <f t="shared" si="2"/>
        <v>0.2</v>
      </c>
      <c r="H17" s="4"/>
      <c r="I17" s="13" t="str">
        <f>Projects!B5</f>
        <v>FRA</v>
      </c>
      <c r="J17" s="14">
        <f>Projects!D5</f>
        <v>0</v>
      </c>
      <c r="K17" s="16">
        <f>Projects!G5</f>
        <v>0</v>
      </c>
      <c r="L17" s="13" t="str">
        <f>Projects!J5</f>
        <v>No Tasks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0" customHeight="1">
      <c r="A18" s="13" t="str">
        <f>Resources!A7</f>
        <v>Mahmoud</v>
      </c>
      <c r="B18" s="13" t="str">
        <f>Resources!B7</f>
        <v>Junior</v>
      </c>
      <c r="C18" s="14">
        <f>Resources!G7</f>
        <v>40</v>
      </c>
      <c r="D18" s="14">
        <f>SUMIF(Projects!$D$4:$D$8,A18,Projects!$E$4:$E$8)+SUMIF(Projects!$H$4:$H$8,A18,Projects!$I$4:$I$8)+SUMIF(Projects!$L$4:$L$8,A18,Projects!$M$4:$M$8)+SUMIF(Projects!$P$4:$P$8,A18,Projects!$Q$4:$Q$8)</f>
        <v>0</v>
      </c>
      <c r="E18" s="14">
        <f>SUMIFS(Tasks!$H$4:$H$12,Tasks!$G$4:$G$12,A18,Tasks!$D$4:$D$12,"Backlog")+SUMIFS(Tasks!$H$4:$H$12,Tasks!$G$4:$G$12,A18,Tasks!$D$4:$D$12,"In Progress")+SUMIFS(Tasks!$K$4:$K$12,Tasks!$J$4:$J$12,A18,Tasks!$D$4:$D$12,"Backlog")+SUMIFS(Tasks!$K$4:$K$12,Tasks!$J$4:$J$12,A18,Tasks!$D$4:$D$12,"In Progress")</f>
        <v>3</v>
      </c>
      <c r="F18" s="14">
        <f t="shared" si="1"/>
        <v>3</v>
      </c>
      <c r="G18" s="15">
        <f t="shared" si="2"/>
        <v>0.075</v>
      </c>
      <c r="H18" s="4"/>
      <c r="I18" s="13" t="str">
        <f>Projects!B6</f>
        <v>PPO</v>
      </c>
      <c r="J18" s="14">
        <f>Projects!D6</f>
        <v>8</v>
      </c>
      <c r="K18" s="16">
        <f>Projects!G6</f>
        <v>1</v>
      </c>
      <c r="L18" s="13" t="str">
        <f>Projects!J6</f>
        <v>Complete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0" customHeight="1">
      <c r="A19" s="13" t="str">
        <f>Resources!A8</f>
        <v>Hany</v>
      </c>
      <c r="B19" s="13" t="str">
        <f>Resources!B8</f>
        <v>Junior</v>
      </c>
      <c r="C19" s="14">
        <f>Resources!G8</f>
        <v>40</v>
      </c>
      <c r="D19" s="14">
        <f>SUMIF(Projects!$D$4:$D$8,A19,Projects!$E$4:$E$8)+SUMIF(Projects!$H$4:$H$8,A19,Projects!$I$4:$I$8)+SUMIF(Projects!$L$4:$L$8,A19,Projects!$M$4:$M$8)+SUMIF(Projects!$P$4:$P$8,A19,Projects!$Q$4:$Q$8)</f>
        <v>0</v>
      </c>
      <c r="E19" s="14">
        <f>SUMIFS(Tasks!$H$4:$H$12,Tasks!$G$4:$G$12,A19,Tasks!$D$4:$D$12,"Backlog")+SUMIFS(Tasks!$H$4:$H$12,Tasks!$G$4:$G$12,A19,Tasks!$D$4:$D$12,"In Progress")+SUMIFS(Tasks!$K$4:$K$12,Tasks!$J$4:$J$12,A19,Tasks!$D$4:$D$12,"Backlog")+SUMIFS(Tasks!$K$4:$K$12,Tasks!$J$4:$J$12,A19,Tasks!$D$4:$D$12,"In Progress")</f>
        <v>0</v>
      </c>
      <c r="F19" s="14">
        <f t="shared" si="1"/>
        <v>0</v>
      </c>
      <c r="G19" s="15">
        <f t="shared" si="2"/>
        <v>0</v>
      </c>
      <c r="H19" s="4"/>
      <c r="I19" s="13" t="str">
        <f>Projects!B8</f>
        <v/>
      </c>
      <c r="J19" s="14" t="str">
        <f>Projects!D8</f>
        <v/>
      </c>
      <c r="K19" s="16" t="str">
        <f>Projects!G8</f>
        <v/>
      </c>
      <c r="L19" s="13" t="str">
        <f>Projects!J8</f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0" customHeight="1">
      <c r="A20" s="13" t="str">
        <f>Resources!A4</f>
        <v>Gebril</v>
      </c>
      <c r="B20" s="13" t="str">
        <f>Resources!B4</f>
        <v>TL</v>
      </c>
      <c r="C20" s="14">
        <f>Resources!G4</f>
        <v>40</v>
      </c>
      <c r="D20" s="14">
        <f>SUMIF(Projects!$D$4:$D$8,A20,Projects!$E$4:$E$8)+SUMIF(Projects!$H$4:$H$8,A20,Projects!$I$4:$I$8)+SUMIF(Projects!$L$4:$L$8,A20,Projects!$M$4:$M$8)+SUMIF(Projects!$P$4:$P$8,A20,Projects!$Q$4:$Q$8)</f>
        <v>0</v>
      </c>
      <c r="E20" s="14">
        <f>SUMIFS(Tasks!$H$4:$H$12,Tasks!$G$4:$G$12,A20,Tasks!$D$4:$D$12,"Backlog")+SUMIFS(Tasks!$H$4:$H$12,Tasks!$G$4:$G$12,A20,Tasks!$D$4:$D$12,"In Progress")+SUMIFS(Tasks!$K$4:$K$12,Tasks!$J$4:$J$12,A20,Tasks!$D$4:$D$12,"Backlog")+SUMIFS(Tasks!$K$4:$K$12,Tasks!$J$4:$J$12,A20,Tasks!$D$4:$D$12,"In Progress")</f>
        <v>0</v>
      </c>
      <c r="F20" s="14">
        <f t="shared" si="1"/>
        <v>0</v>
      </c>
      <c r="G20" s="15">
        <f t="shared" si="2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7" t="s">
        <v>30</v>
      </c>
      <c r="B23" s="2"/>
      <c r="C23" s="2"/>
      <c r="D23" s="2"/>
      <c r="E23" s="2"/>
      <c r="F23" s="2"/>
      <c r="G23" s="2"/>
      <c r="H23" s="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8" t="s">
        <v>26</v>
      </c>
      <c r="B24" s="18" t="s">
        <v>31</v>
      </c>
      <c r="C24" s="18" t="s">
        <v>32</v>
      </c>
      <c r="D24" s="18" t="s">
        <v>28</v>
      </c>
      <c r="E24" s="18" t="s">
        <v>33</v>
      </c>
      <c r="F24" s="18" t="s">
        <v>29</v>
      </c>
      <c r="G24" s="4"/>
      <c r="H24" s="4"/>
      <c r="I24" s="4"/>
      <c r="J24" s="19" t="s">
        <v>34</v>
      </c>
      <c r="K24" s="2"/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3" t="str">
        <f>Projects!B4</f>
        <v>CST</v>
      </c>
      <c r="B25" s="14">
        <f>Projects!D4</f>
        <v>71</v>
      </c>
      <c r="C25" s="14">
        <f>Projects!F4</f>
        <v>46</v>
      </c>
      <c r="D25" s="20">
        <f>Projects!G4</f>
        <v>0.6478873239</v>
      </c>
      <c r="E25" s="13" t="str">
        <f>Projects!H4&amp;"/"&amp;Projects!I4</f>
        <v>3/9</v>
      </c>
      <c r="F25" s="6" t="str">
        <f>Projects!J4</f>
        <v>At Risk</v>
      </c>
      <c r="G25" s="4"/>
      <c r="H25" s="4"/>
      <c r="I25" s="4"/>
      <c r="J25" s="21" t="s">
        <v>29</v>
      </c>
      <c r="K25" s="21" t="s">
        <v>35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3" t="str">
        <f>Projects!B5</f>
        <v>FRA</v>
      </c>
      <c r="B26" s="14">
        <f>Projects!D5</f>
        <v>0</v>
      </c>
      <c r="C26" s="14">
        <f>Projects!F5</f>
        <v>0</v>
      </c>
      <c r="D26" s="20">
        <f>Projects!G5</f>
        <v>0</v>
      </c>
      <c r="E26" s="13" t="str">
        <f>Projects!H5&amp;"/"&amp;Projects!I5</f>
        <v>0/0</v>
      </c>
      <c r="F26" s="6" t="str">
        <f>Projects!J5</f>
        <v>No Tasks</v>
      </c>
      <c r="G26" s="4"/>
      <c r="H26" s="4"/>
      <c r="I26" s="4"/>
      <c r="J26" s="4" t="s">
        <v>36</v>
      </c>
      <c r="K26" s="22">
        <f>COUNTIF(Tasks!$D$4:$D$50,"Done")</f>
        <v>4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3" t="str">
        <f>Projects!B6</f>
        <v>PPO</v>
      </c>
      <c r="B27" s="14">
        <f>Projects!D6</f>
        <v>8</v>
      </c>
      <c r="C27" s="14">
        <f>Projects!F6</f>
        <v>8</v>
      </c>
      <c r="D27" s="20">
        <f>Projects!G6</f>
        <v>1</v>
      </c>
      <c r="E27" s="13" t="str">
        <f>Projects!H6&amp;"/"&amp;Projects!I6</f>
        <v>1/1</v>
      </c>
      <c r="F27" s="6" t="str">
        <f>Projects!J6</f>
        <v>Complete</v>
      </c>
      <c r="G27" s="4"/>
      <c r="H27" s="4"/>
      <c r="I27" s="4"/>
      <c r="J27" s="4" t="s">
        <v>37</v>
      </c>
      <c r="K27" s="22">
        <f>COUNTIF(Tasks!$D$4:$D$50,"In Progress")</f>
        <v>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 t="s">
        <v>38</v>
      </c>
      <c r="K28" s="22">
        <f>COUNTIF(Tasks!$D$4:$D$50,"Backlog")</f>
        <v>4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 t="s">
        <v>39</v>
      </c>
      <c r="K29" s="22">
        <f>COUNTIF(Tasks!$D$4:$D$50,"Cancelled")</f>
        <v>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23" t="s">
        <v>40</v>
      </c>
      <c r="K31" s="2"/>
      <c r="L31" s="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21" t="s">
        <v>26</v>
      </c>
      <c r="K32" s="21" t="s">
        <v>28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 t="str">
        <f>Projects!B4</f>
        <v>CST</v>
      </c>
      <c r="K33" s="24">
        <f>Projects!G4</f>
        <v>0.6478873239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 t="str">
        <f>Projects!B5</f>
        <v>FRA</v>
      </c>
      <c r="K34" s="24">
        <f>Projects!G5</f>
        <v>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 t="str">
        <f>Projects!B6</f>
        <v>PPO</v>
      </c>
      <c r="K35" s="24">
        <f>Projects!G6</f>
        <v>1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25" t="s">
        <v>41</v>
      </c>
      <c r="K36" s="2"/>
      <c r="L36" s="2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21" t="s">
        <v>19</v>
      </c>
      <c r="K37" s="21" t="s">
        <v>42</v>
      </c>
      <c r="L37" s="21" t="s">
        <v>23</v>
      </c>
      <c r="M37" s="21" t="s">
        <v>43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 t="s">
        <v>44</v>
      </c>
      <c r="K38" s="26">
        <f t="shared" ref="K38:L38" si="3">D16</f>
        <v>0</v>
      </c>
      <c r="L38" s="26">
        <f t="shared" si="3"/>
        <v>0</v>
      </c>
      <c r="M38" s="26">
        <f t="shared" ref="M38:M42" si="5">K38+L38</f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 t="s">
        <v>45</v>
      </c>
      <c r="K39" s="26">
        <f t="shared" ref="K39:L39" si="4">D17</f>
        <v>0</v>
      </c>
      <c r="L39" s="26">
        <f t="shared" si="4"/>
        <v>8</v>
      </c>
      <c r="M39" s="26">
        <f t="shared" si="5"/>
        <v>8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 t="s">
        <v>46</v>
      </c>
      <c r="K40" s="26">
        <f t="shared" ref="K40:L40" si="6">D18</f>
        <v>0</v>
      </c>
      <c r="L40" s="26">
        <f t="shared" si="6"/>
        <v>3</v>
      </c>
      <c r="M40" s="26">
        <f t="shared" si="5"/>
        <v>3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 t="s">
        <v>47</v>
      </c>
      <c r="K41" s="26">
        <f t="shared" ref="K41:L41" si="7">D19</f>
        <v>0</v>
      </c>
      <c r="L41" s="26">
        <f t="shared" si="7"/>
        <v>0</v>
      </c>
      <c r="M41" s="26">
        <f t="shared" si="5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27" t="s">
        <v>48</v>
      </c>
      <c r="K42" s="26">
        <f t="shared" ref="K42:L42" si="8">D20</f>
        <v>0</v>
      </c>
      <c r="L42" s="26">
        <f t="shared" si="8"/>
        <v>0</v>
      </c>
      <c r="M42" s="26">
        <f t="shared" si="5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17" t="s">
        <v>49</v>
      </c>
      <c r="K43" s="2"/>
      <c r="L43" s="2"/>
      <c r="M43" s="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21" t="s">
        <v>26</v>
      </c>
      <c r="K44" s="21" t="s">
        <v>36</v>
      </c>
      <c r="L44" s="21" t="s">
        <v>37</v>
      </c>
      <c r="M44" s="21" t="s">
        <v>38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 t="str">
        <f>Projects!B4</f>
        <v>CST</v>
      </c>
      <c r="K45" s="4">
        <f>COUNTIFS(Tasks!$B$4:$B$50,Projects!$A$4,Tasks!$D$4:$D$50,"Done")</f>
        <v>3</v>
      </c>
      <c r="L45" s="4">
        <f>COUNTIFS(Tasks!$B$4:$B$50,Projects!$A$4,Tasks!$D$4:$D$50,"In Progress")</f>
        <v>2</v>
      </c>
      <c r="M45" s="4">
        <f>COUNTIFS(Tasks!$B$4:$B$50,Projects!$A$4,Tasks!$D$4:$D$50,"Backlog")</f>
        <v>4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 t="str">
        <f>Projects!B5</f>
        <v>FRA</v>
      </c>
      <c r="K46" s="4">
        <f>COUNTIFS(Tasks!$B$4:$B$50,Projects!$A$5,Tasks!$D$4:$D$50,"Done")</f>
        <v>0</v>
      </c>
      <c r="L46" s="4">
        <f>COUNTIFS(Tasks!$B$4:$B$50,Projects!$A$5,Tasks!$D$4:$D$50,"In Progress")</f>
        <v>0</v>
      </c>
      <c r="M46" s="4">
        <f>COUNTIFS(Tasks!$B$4:$B$50,Projects!$A$5,Tasks!$D$4:$D$50,"Backlog")</f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 t="str">
        <f>Projects!B6</f>
        <v>PPO</v>
      </c>
      <c r="K47" s="4">
        <f>COUNTIFS(Tasks!$B$4:$B$50,Projects!$A$6,Tasks!$D$4:$D$50,"Done")</f>
        <v>1</v>
      </c>
      <c r="L47" s="4">
        <f>COUNTIFS(Tasks!$B$4:$B$50,Projects!$A$6,Tasks!$D$4:$D$50,"In Progress")</f>
        <v>0</v>
      </c>
      <c r="M47" s="4">
        <f>COUNTIFS(Tasks!$B$4:$B$50,Projects!$A$6,Tasks!$D$4:$D$50,"Backlog")</f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8" t="s">
        <v>50</v>
      </c>
      <c r="B60" s="2"/>
      <c r="C60" s="2"/>
      <c r="D60" s="2"/>
      <c r="E60" s="2"/>
      <c r="F60" s="2"/>
      <c r="G60" s="2"/>
      <c r="H60" s="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" t="s">
        <v>51</v>
      </c>
      <c r="B61" s="12" t="s">
        <v>26</v>
      </c>
      <c r="C61" s="12" t="s">
        <v>52</v>
      </c>
      <c r="D61" s="12" t="s">
        <v>29</v>
      </c>
      <c r="E61" s="12" t="s">
        <v>53</v>
      </c>
      <c r="F61" s="12" t="s">
        <v>54</v>
      </c>
      <c r="G61" s="12" t="s">
        <v>19</v>
      </c>
      <c r="H61" s="12" t="s">
        <v>55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tr">
        <f>IF(Tasks!A4&lt;&gt;"",Tasks!A4,"")</f>
        <v>TSK-001</v>
      </c>
      <c r="B62" s="4" t="str">
        <f>IF(Tasks!A4&lt;&gt;"",Tasks!B4,"")</f>
        <v>PRJ-001</v>
      </c>
      <c r="C62" s="4" t="str">
        <f>IF(Tasks!A4&lt;&gt;"",Tasks!C4,"")</f>
        <v>Mobile View Testing Cycle</v>
      </c>
      <c r="D62" s="22" t="str">
        <f>IF(Tasks!A4&lt;&gt;"",Tasks!D4,"")</f>
        <v>Done</v>
      </c>
      <c r="E62" s="26">
        <f>IF(Tasks!A4&lt;&gt;"",Tasks!M4,"")</f>
        <v>40</v>
      </c>
      <c r="F62" s="26">
        <f>IF(Tasks!A4&lt;&gt;"",Tasks!N4,"")</f>
        <v>36</v>
      </c>
      <c r="G62" s="4" t="str">
        <f>IF(Tasks!A4&lt;&gt;"",IF(Tasks!J4&lt;&gt;"",Tasks!G4&amp;", "&amp;Tasks!J4,Tasks!G4),"")</f>
        <v>Mahmoud, Hany</v>
      </c>
      <c r="H62" s="29">
        <f>IF(Tasks!A4&lt;&gt;"",Tasks!T4,"")</f>
        <v>46037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tr">
        <f>IF(Tasks!A5&lt;&gt;"",Tasks!A5,"")</f>
        <v>TSK-002</v>
      </c>
      <c r="B63" s="4" t="str">
        <f>IF(Tasks!A5&lt;&gt;"",Tasks!B5,"")</f>
        <v>PRJ-001</v>
      </c>
      <c r="C63" s="4" t="str">
        <f>IF(Tasks!A5&lt;&gt;"",Tasks!C5,"")</f>
        <v>حذف اسم المفوض</v>
      </c>
      <c r="D63" s="22" t="str">
        <f>IF(Tasks!A5&lt;&gt;"",Tasks!D5,"")</f>
        <v>Done</v>
      </c>
      <c r="E63" s="26">
        <f>IF(Tasks!A5&lt;&gt;"",Tasks!M5,"")</f>
        <v>12</v>
      </c>
      <c r="F63" s="26">
        <f>IF(Tasks!A5&lt;&gt;"",Tasks!N5,"")</f>
        <v>8</v>
      </c>
      <c r="G63" s="4" t="str">
        <f>IF(Tasks!A5&lt;&gt;"",IF(Tasks!J5&lt;&gt;"",Tasks!G5&amp;", "&amp;Tasks!J5,Tasks!G5),"")</f>
        <v>Belal, Hany</v>
      </c>
      <c r="H63" s="29">
        <f>IF(Tasks!A5&lt;&gt;"",Tasks!T5,"")</f>
        <v>46033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tr">
        <f>IF(Tasks!A6&lt;&gt;"",Tasks!A6,"")</f>
        <v>TSK-003</v>
      </c>
      <c r="B64" s="4" t="str">
        <f>IF(Tasks!A6&lt;&gt;"",Tasks!B6,"")</f>
        <v>PRJ-001</v>
      </c>
      <c r="C64" s="4" t="str">
        <f>IF(Tasks!A6&lt;&gt;"",Tasks!C6,"")</f>
        <v>missing punch updates</v>
      </c>
      <c r="D64" s="22" t="str">
        <f>IF(Tasks!A6&lt;&gt;"",Tasks!D6,"")</f>
        <v>In Progress</v>
      </c>
      <c r="E64" s="26">
        <f>IF(Tasks!A6&lt;&gt;"",Tasks!M6,"")</f>
        <v>3</v>
      </c>
      <c r="F64" s="26">
        <f>IF(Tasks!A6&lt;&gt;"",Tasks!N6,"")</f>
        <v>0</v>
      </c>
      <c r="G64" s="4" t="str">
        <f>IF(Tasks!A6&lt;&gt;"",IF(Tasks!J6&lt;&gt;"",Tasks!G6&amp;", "&amp;Tasks!J6,Tasks!G6),"")</f>
        <v>Mahmoud</v>
      </c>
      <c r="H64" s="29">
        <f>IF(Tasks!A6&lt;&gt;"",Tasks!T6,"")</f>
        <v>46037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tr">
        <f>IF(Tasks!A7&lt;&gt;"",Tasks!A7,"")</f>
        <v>TSK-004</v>
      </c>
      <c r="B65" s="4" t="str">
        <f>IF(Tasks!A7&lt;&gt;"",Tasks!B7,"")</f>
        <v>PRJ-001</v>
      </c>
      <c r="C65" s="4" t="str">
        <f>IF(Tasks!A7&lt;&gt;"",Tasks!C7,"")</f>
        <v>إجازة متعاقدين</v>
      </c>
      <c r="D65" s="22" t="str">
        <f>IF(Tasks!A7&lt;&gt;"",Tasks!D7,"")</f>
        <v>Backlog</v>
      </c>
      <c r="E65" s="26">
        <f>IF(Tasks!A7&lt;&gt;"",Tasks!M7,"")</f>
        <v>0</v>
      </c>
      <c r="F65" s="26">
        <f>IF(Tasks!A7&lt;&gt;"",Tasks!N7,"")</f>
        <v>0</v>
      </c>
      <c r="G65" s="4" t="str">
        <f>IF(Tasks!A7&lt;&gt;"",IF(Tasks!J7&lt;&gt;"",Tasks!G7&amp;", "&amp;Tasks!J7,Tasks!G7),"")</f>
        <v/>
      </c>
      <c r="H65" s="29" t="str">
        <f>IF(Tasks!A7&lt;&gt;"",Tasks!T7,"")</f>
        <v/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tr">
        <f>IF(Tasks!A8&lt;&gt;"",Tasks!A8,"")</f>
        <v>TSK-005</v>
      </c>
      <c r="B66" s="4" t="str">
        <f>IF(Tasks!A8&lt;&gt;"",Tasks!B8,"")</f>
        <v>PRJ-001</v>
      </c>
      <c r="C66" s="4" t="str">
        <f>IF(Tasks!A8&lt;&gt;"",Tasks!C8,"")</f>
        <v>إشعارات + تقرير تعليم الأبناء</v>
      </c>
      <c r="D66" s="22" t="str">
        <f>IF(Tasks!A8&lt;&gt;"",Tasks!D8,"")</f>
        <v>In Progress</v>
      </c>
      <c r="E66" s="26">
        <f>IF(Tasks!A8&lt;&gt;"",Tasks!M8,"")</f>
        <v>8</v>
      </c>
      <c r="F66" s="26">
        <f>IF(Tasks!A8&lt;&gt;"",Tasks!N8,"")</f>
        <v>0</v>
      </c>
      <c r="G66" s="4" t="str">
        <f>IF(Tasks!A8&lt;&gt;"",IF(Tasks!J8&lt;&gt;"",Tasks!G8&amp;", "&amp;Tasks!J8,Tasks!G8),"")</f>
        <v>Belal</v>
      </c>
      <c r="H66" s="29">
        <f>IF(Tasks!A8&lt;&gt;"",Tasks!T8,"")</f>
        <v>46037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tr">
        <f>IF(Tasks!A9&lt;&gt;"",Tasks!A9,"")</f>
        <v>TSK-006</v>
      </c>
      <c r="B67" s="4" t="str">
        <f>IF(Tasks!A9&lt;&gt;"",Tasks!B9,"")</f>
        <v>PRJ-001</v>
      </c>
      <c r="C67" s="4" t="str">
        <f>IF(Tasks!A9&lt;&gt;"",Tasks!C9,"")</f>
        <v>إشعارات السحب الطلب</v>
      </c>
      <c r="D67" s="22" t="str">
        <f>IF(Tasks!A9&lt;&gt;"",Tasks!D9,"")</f>
        <v>Done</v>
      </c>
      <c r="E67" s="26">
        <f>IF(Tasks!A9&lt;&gt;"",Tasks!M9,"")</f>
        <v>8</v>
      </c>
      <c r="F67" s="26">
        <f>IF(Tasks!A9&lt;&gt;"",Tasks!N9,"")</f>
        <v>2</v>
      </c>
      <c r="G67" s="4" t="str">
        <f>IF(Tasks!A9&lt;&gt;"",IF(Tasks!J9&lt;&gt;"",Tasks!G9&amp;", "&amp;Tasks!J9,Tasks!G9),"")</f>
        <v>Belal</v>
      </c>
      <c r="H67" s="29">
        <f>IF(Tasks!A9&lt;&gt;"",Tasks!T9,"")</f>
        <v>46033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tr">
        <f>IF(Tasks!A10&lt;&gt;"",Tasks!A10,"")</f>
        <v>TSK-007</v>
      </c>
      <c r="B68" s="4" t="str">
        <f>IF(Tasks!A10&lt;&gt;"",Tasks!B10,"")</f>
        <v>PRJ-001</v>
      </c>
      <c r="C68" s="4" t="str">
        <f>IF(Tasks!A10&lt;&gt;"",Tasks!C10,"")</f>
        <v>طلب خارج الدوام متعقدين 
طلب دفع خارج الدوام متعقدين
طلب إلغاء خارج الدوام متعقدين</v>
      </c>
      <c r="D68" s="22" t="str">
        <f>IF(Tasks!A10&lt;&gt;"",Tasks!D10,"")</f>
        <v>Backlog</v>
      </c>
      <c r="E68" s="26">
        <f>IF(Tasks!A10&lt;&gt;"",Tasks!M10,"")</f>
        <v>0</v>
      </c>
      <c r="F68" s="26">
        <f>IF(Tasks!A10&lt;&gt;"",Tasks!N10,"")</f>
        <v>0</v>
      </c>
      <c r="G68" s="4" t="str">
        <f>IF(Tasks!A10&lt;&gt;"",IF(Tasks!J10&lt;&gt;"",Tasks!G10&amp;", "&amp;Tasks!J10,Tasks!G10),"")</f>
        <v/>
      </c>
      <c r="H68" s="29">
        <f>IF(Tasks!A10&lt;&gt;"",Tasks!T10,"")</f>
        <v>46048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tr">
        <f>IF(Tasks!A11&lt;&gt;"",Tasks!A11,"")</f>
        <v>TSK-008</v>
      </c>
      <c r="B69" s="4" t="str">
        <f>IF(Tasks!A11&lt;&gt;"",Tasks!B11,"")</f>
        <v>PRJ-003</v>
      </c>
      <c r="C69" s="4" t="str">
        <f>IF(Tasks!A11&lt;&gt;"",Tasks!C11,"")</f>
        <v>Portal | Law Services Testing Cycle</v>
      </c>
      <c r="D69" s="22" t="str">
        <f>IF(Tasks!A11&lt;&gt;"",Tasks!D11,"")</f>
        <v>Done</v>
      </c>
      <c r="E69" s="26">
        <f>IF(Tasks!A11&lt;&gt;"",Tasks!M11,"")</f>
        <v>8</v>
      </c>
      <c r="F69" s="26">
        <f>IF(Tasks!A11&lt;&gt;"",Tasks!N11,"")</f>
        <v>8</v>
      </c>
      <c r="G69" s="4" t="str">
        <f>IF(Tasks!A11&lt;&gt;"",IF(Tasks!J11&lt;&gt;"",Tasks!G11&amp;", "&amp;Tasks!J11,Tasks!G11),"")</f>
        <v>Gebril</v>
      </c>
      <c r="H69" s="29">
        <f>IF(Tasks!A11&lt;&gt;"",Tasks!T11,"")</f>
        <v>46035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tr">
        <f>IF(Tasks!A12&lt;&gt;"",Tasks!A12,"")</f>
        <v>TSK-009</v>
      </c>
      <c r="B70" s="4" t="str">
        <f>IF(Tasks!A12&lt;&gt;"",Tasks!B12,"")</f>
        <v>PRJ-001</v>
      </c>
      <c r="C70" s="4" t="str">
        <f>IF(Tasks!A12&lt;&gt;"",Tasks!C12,"")</f>
        <v>عدم الاستفادة من الخدمات</v>
      </c>
      <c r="D70" s="22" t="str">
        <f>IF(Tasks!A12&lt;&gt;"",Tasks!D12,"")</f>
        <v>Backlog</v>
      </c>
      <c r="E70" s="26">
        <f>IF(Tasks!A12&lt;&gt;"",Tasks!M12,"")</f>
        <v>0</v>
      </c>
      <c r="F70" s="26">
        <f>IF(Tasks!A12&lt;&gt;"",Tasks!N12,"")</f>
        <v>0</v>
      </c>
      <c r="G70" s="4" t="str">
        <f>IF(Tasks!A12&lt;&gt;"",IF(Tasks!J12&lt;&gt;"",Tasks!G12&amp;", "&amp;Tasks!J12,Tasks!G12),"")</f>
        <v/>
      </c>
      <c r="H70" s="29" t="str">
        <f>IF(Tasks!A12&lt;&gt;"",Tasks!T12,"")</f>
        <v/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tr">
        <f>IF(Tasks!A13&lt;&gt;"",Tasks!A13,"")</f>
        <v>TSk-010</v>
      </c>
      <c r="B71" s="4" t="str">
        <f>IF(Tasks!A13&lt;&gt;"",Tasks!B13,"")</f>
        <v>PRJ-001</v>
      </c>
      <c r="C71" s="4" t="str">
        <f>IF(Tasks!A13&lt;&gt;"",Tasks!C13,"")</f>
        <v>خدمة إلغاء سلفة شخصية (سداد مبكر)</v>
      </c>
      <c r="D71" s="22" t="str">
        <f>IF(Tasks!A13&lt;&gt;"",Tasks!D13,"")</f>
        <v>Backlog</v>
      </c>
      <c r="E71" s="26">
        <f>IF(Tasks!A13&lt;&gt;"",Tasks!M13,"")</f>
        <v>0</v>
      </c>
      <c r="F71" s="26">
        <f>IF(Tasks!A13&lt;&gt;"",Tasks!N13,"")</f>
        <v>0</v>
      </c>
      <c r="G71" s="4" t="str">
        <f>IF(Tasks!A13&lt;&gt;"",IF(Tasks!J13&lt;&gt;"",Tasks!G13&amp;", "&amp;Tasks!J13,Tasks!G13),"")</f>
        <v/>
      </c>
      <c r="H71" s="29">
        <f>IF(Tasks!A13&lt;&gt;"",Tasks!T13,"")</f>
        <v>46050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5" t="s">
        <v>56</v>
      </c>
      <c r="B73" s="2"/>
      <c r="C73" s="2"/>
      <c r="D73" s="2"/>
      <c r="E73" s="2"/>
      <c r="F73" s="2"/>
      <c r="G73" s="2"/>
      <c r="H73" s="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2" t="s">
        <v>57</v>
      </c>
      <c r="B74" s="30">
        <f>COUNTA(Tasks!A4:A50)</f>
        <v>10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2" t="s">
        <v>58</v>
      </c>
      <c r="B75" s="30">
        <f>COUNTIF(Tasks!D4:D50,"Done")</f>
        <v>4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2" t="s">
        <v>59</v>
      </c>
      <c r="B76" s="30">
        <f>COUNTIF(Tasks!D4:D50,"In Progress")</f>
        <v>2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2" t="s">
        <v>60</v>
      </c>
      <c r="B77" s="30">
        <f>COUNTIF(Tasks!D4:D50,"Backlog")</f>
        <v>4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2" t="s">
        <v>61</v>
      </c>
      <c r="B78" s="31">
        <f>IF(COUNTA(Tasks!A4:A50)&gt;0,COUNTIF(Tasks!D4:D50,"Done")/COUNTA(Tasks!A4:A50),0)</f>
        <v>0.4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2" t="s">
        <v>62</v>
      </c>
      <c r="B79" s="32">
        <f>SUM(Tasks!M4:M50)</f>
        <v>79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2" t="s">
        <v>63</v>
      </c>
      <c r="B80" s="32">
        <f>SUM(Tasks!N4:N50)</f>
        <v>54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2" t="s">
        <v>64</v>
      </c>
      <c r="B81" s="32">
        <f>SUM(Tasks!Q4:Q50)</f>
        <v>-25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ht="15.75" customHeight="1">
      <c r="A283" s="4"/>
      <c r="B283" s="4"/>
      <c r="C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ht="15.75" customHeight="1">
      <c r="A284" s="4"/>
      <c r="B284" s="4"/>
      <c r="C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ht="15.75" customHeight="1">
      <c r="A285" s="4"/>
      <c r="B285" s="4"/>
      <c r="C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ht="15.75" customHeight="1">
      <c r="A286" s="4"/>
      <c r="B286" s="4"/>
      <c r="C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ht="15.75" customHeight="1">
      <c r="A287" s="4"/>
      <c r="B287" s="4"/>
      <c r="C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ht="15.75" customHeight="1">
      <c r="A288" s="4"/>
      <c r="B288" s="4"/>
      <c r="C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ht="15.75" customHeight="1">
      <c r="A289" s="4"/>
      <c r="B289" s="4"/>
      <c r="C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ht="15.75" customHeight="1">
      <c r="A290" s="4"/>
      <c r="B290" s="4"/>
      <c r="C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ht="15.75" customHeight="1">
      <c r="A291" s="4"/>
      <c r="B291" s="4"/>
      <c r="C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ht="15.75" customHeight="1">
      <c r="A292" s="4"/>
      <c r="B292" s="4"/>
      <c r="C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ht="15.75" customHeight="1">
      <c r="A293" s="4"/>
      <c r="B293" s="4"/>
      <c r="C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ht="15.75" customHeight="1">
      <c r="A294" s="4"/>
      <c r="B294" s="4"/>
      <c r="C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ht="15.75" customHeight="1">
      <c r="A295" s="4"/>
      <c r="B295" s="4"/>
      <c r="C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ht="15.75" customHeight="1">
      <c r="A296" s="4"/>
      <c r="B296" s="4"/>
      <c r="C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ht="15.75" customHeight="1">
      <c r="A297" s="4"/>
      <c r="B297" s="4"/>
      <c r="C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ht="15.75" customHeight="1">
      <c r="A298" s="4"/>
      <c r="B298" s="4"/>
      <c r="C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ht="15.75" customHeight="1">
      <c r="A299" s="4"/>
      <c r="B299" s="4"/>
      <c r="C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ht="15.75" customHeight="1">
      <c r="A300" s="4"/>
      <c r="B300" s="4"/>
      <c r="C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ht="15.75" customHeight="1">
      <c r="A301" s="4"/>
      <c r="B301" s="4"/>
      <c r="C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ht="15.75" customHeight="1">
      <c r="A302" s="4"/>
      <c r="B302" s="4"/>
      <c r="C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ht="15.75" customHeight="1">
      <c r="A303" s="4"/>
      <c r="B303" s="4"/>
      <c r="C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ht="15.75" customHeight="1">
      <c r="A304" s="4"/>
      <c r="B304" s="4"/>
      <c r="C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ht="15.75" customHeight="1">
      <c r="A305" s="4"/>
      <c r="B305" s="4"/>
      <c r="C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ht="15.75" customHeight="1">
      <c r="A306" s="4"/>
      <c r="B306" s="4"/>
      <c r="C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ht="15.75" customHeight="1">
      <c r="A307" s="4"/>
      <c r="B307" s="4"/>
      <c r="C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ht="15.75" customHeight="1">
      <c r="A308" s="4"/>
      <c r="B308" s="4"/>
      <c r="C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ht="15.75" customHeight="1">
      <c r="A309" s="4"/>
      <c r="B309" s="4"/>
      <c r="C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ht="15.75" customHeight="1">
      <c r="A310" s="4"/>
      <c r="B310" s="4"/>
      <c r="C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ht="15.75" customHeight="1">
      <c r="A311" s="4"/>
      <c r="B311" s="4"/>
      <c r="C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ht="15.75" customHeight="1">
      <c r="A312" s="4"/>
      <c r="B312" s="4"/>
      <c r="C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ht="15.75" customHeight="1">
      <c r="A313" s="4"/>
      <c r="B313" s="4"/>
      <c r="C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ht="15.75" customHeight="1">
      <c r="A314" s="4"/>
      <c r="B314" s="4"/>
      <c r="C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ht="15.75" customHeight="1">
      <c r="A315" s="4"/>
      <c r="B315" s="4"/>
      <c r="C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ht="15.75" customHeight="1">
      <c r="A316" s="4"/>
      <c r="B316" s="4"/>
      <c r="C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ht="15.75" customHeight="1">
      <c r="A317" s="4"/>
      <c r="B317" s="4"/>
      <c r="C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ht="15.75" customHeight="1">
      <c r="A318" s="4"/>
      <c r="B318" s="4"/>
      <c r="C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ht="15.75" customHeight="1">
      <c r="A319" s="4"/>
      <c r="B319" s="4"/>
      <c r="C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ht="15.75" customHeight="1">
      <c r="A320" s="4"/>
      <c r="B320" s="4"/>
      <c r="C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ht="15.75" customHeight="1">
      <c r="A321" s="4"/>
      <c r="B321" s="4"/>
      <c r="C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ht="15.75" customHeight="1">
      <c r="A322" s="4"/>
      <c r="B322" s="4"/>
      <c r="C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ht="15.75" customHeight="1">
      <c r="A323" s="4"/>
      <c r="B323" s="4"/>
      <c r="C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ht="15.75" customHeight="1">
      <c r="A324" s="4"/>
      <c r="B324" s="4"/>
      <c r="C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ht="15.75" customHeight="1">
      <c r="A325" s="4"/>
      <c r="B325" s="4"/>
      <c r="C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ht="15.75" customHeight="1">
      <c r="A326" s="4"/>
      <c r="B326" s="4"/>
      <c r="C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ht="15.75" customHeight="1">
      <c r="A327" s="4"/>
      <c r="B327" s="4"/>
      <c r="C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ht="15.75" customHeight="1">
      <c r="A328" s="4"/>
      <c r="B328" s="4"/>
      <c r="C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ht="15.75" customHeight="1">
      <c r="A329" s="4"/>
      <c r="B329" s="4"/>
      <c r="C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ht="15.75" customHeight="1">
      <c r="A330" s="4"/>
      <c r="B330" s="4"/>
      <c r="C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ht="15.75" customHeight="1">
      <c r="A331" s="4"/>
      <c r="B331" s="4"/>
      <c r="C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ht="15.75" customHeight="1">
      <c r="A332" s="4"/>
      <c r="B332" s="4"/>
      <c r="C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ht="15.75" customHeight="1">
      <c r="A333" s="4"/>
      <c r="B333" s="4"/>
      <c r="C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ht="15.75" customHeight="1">
      <c r="A334" s="4"/>
      <c r="B334" s="4"/>
      <c r="C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ht="15.75" customHeight="1">
      <c r="A335" s="4"/>
      <c r="B335" s="4"/>
      <c r="C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ht="15.75" customHeight="1">
      <c r="A336" s="4"/>
      <c r="B336" s="4"/>
      <c r="C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ht="15.75" customHeight="1">
      <c r="A337" s="4"/>
      <c r="B337" s="4"/>
      <c r="C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ht="15.75" customHeight="1">
      <c r="A338" s="4"/>
      <c r="B338" s="4"/>
      <c r="C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ht="15.75" customHeight="1">
      <c r="A339" s="4"/>
      <c r="B339" s="4"/>
      <c r="C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ht="15.75" customHeight="1">
      <c r="A340" s="4"/>
      <c r="B340" s="4"/>
      <c r="C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ht="15.75" customHeight="1">
      <c r="A341" s="4"/>
      <c r="B341" s="4"/>
      <c r="C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ht="15.75" customHeight="1">
      <c r="A342" s="4"/>
      <c r="B342" s="4"/>
      <c r="C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ht="15.75" customHeight="1">
      <c r="A343" s="4"/>
      <c r="B343" s="4"/>
      <c r="C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ht="15.75" customHeight="1">
      <c r="A344" s="4"/>
      <c r="B344" s="4"/>
      <c r="C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ht="15.75" customHeight="1">
      <c r="A345" s="4"/>
      <c r="B345" s="4"/>
      <c r="C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ht="15.75" customHeight="1">
      <c r="A346" s="4"/>
      <c r="B346" s="4"/>
      <c r="C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ht="15.75" customHeight="1">
      <c r="A347" s="4"/>
      <c r="B347" s="4"/>
      <c r="C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ht="15.75" customHeight="1">
      <c r="A348" s="4"/>
      <c r="B348" s="4"/>
      <c r="C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ht="15.75" customHeight="1">
      <c r="A349" s="4"/>
      <c r="B349" s="4"/>
      <c r="C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ht="15.75" customHeight="1">
      <c r="A350" s="4"/>
      <c r="B350" s="4"/>
      <c r="C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ht="15.75" customHeight="1">
      <c r="A351" s="4"/>
      <c r="B351" s="4"/>
      <c r="C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ht="15.75" customHeight="1">
      <c r="A352" s="4"/>
      <c r="B352" s="4"/>
      <c r="C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ht="15.75" customHeight="1">
      <c r="A353" s="4"/>
      <c r="B353" s="4"/>
      <c r="C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ht="15.75" customHeight="1">
      <c r="A354" s="4"/>
      <c r="B354" s="4"/>
      <c r="C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ht="15.75" customHeight="1">
      <c r="A355" s="4"/>
      <c r="B355" s="4"/>
      <c r="C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ht="15.75" customHeight="1">
      <c r="A356" s="4"/>
      <c r="B356" s="4"/>
      <c r="C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ht="15.75" customHeight="1">
      <c r="A357" s="4"/>
      <c r="B357" s="4"/>
      <c r="C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ht="15.75" customHeight="1">
      <c r="A358" s="4"/>
      <c r="B358" s="4"/>
      <c r="C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ht="15.75" customHeight="1">
      <c r="A359" s="4"/>
      <c r="B359" s="4"/>
      <c r="C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ht="15.75" customHeight="1">
      <c r="A360" s="4"/>
      <c r="B360" s="4"/>
      <c r="C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ht="15.75" customHeight="1">
      <c r="A361" s="4"/>
      <c r="B361" s="4"/>
      <c r="C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ht="15.75" customHeight="1">
      <c r="A362" s="4"/>
      <c r="B362" s="4"/>
      <c r="C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ht="15.75" customHeight="1">
      <c r="A363" s="4"/>
      <c r="B363" s="4"/>
      <c r="C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ht="15.75" customHeight="1">
      <c r="A364" s="4"/>
      <c r="B364" s="4"/>
      <c r="C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ht="15.75" customHeight="1">
      <c r="A365" s="4"/>
      <c r="B365" s="4"/>
      <c r="C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ht="15.75" customHeight="1">
      <c r="A366" s="4"/>
      <c r="B366" s="4"/>
      <c r="C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ht="15.75" customHeight="1">
      <c r="A367" s="4"/>
      <c r="B367" s="4"/>
      <c r="C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ht="15.75" customHeight="1">
      <c r="A368" s="4"/>
      <c r="B368" s="4"/>
      <c r="C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ht="15.75" customHeight="1">
      <c r="A369" s="4"/>
      <c r="B369" s="4"/>
      <c r="C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ht="15.75" customHeight="1">
      <c r="A370" s="4"/>
      <c r="B370" s="4"/>
      <c r="C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ht="15.75" customHeight="1">
      <c r="A371" s="4"/>
      <c r="B371" s="4"/>
      <c r="C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ht="15.75" customHeight="1">
      <c r="A372" s="4"/>
      <c r="B372" s="4"/>
      <c r="C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ht="15.75" customHeight="1">
      <c r="A373" s="4"/>
      <c r="B373" s="4"/>
      <c r="C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ht="15.75" customHeight="1">
      <c r="A374" s="4"/>
      <c r="B374" s="4"/>
      <c r="C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ht="15.75" customHeight="1">
      <c r="A375" s="4"/>
      <c r="B375" s="4"/>
      <c r="C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ht="15.75" customHeight="1">
      <c r="A376" s="4"/>
      <c r="B376" s="4"/>
      <c r="C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ht="15.75" customHeight="1">
      <c r="A377" s="4"/>
      <c r="B377" s="4"/>
      <c r="C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ht="15.75" customHeight="1">
      <c r="A378" s="4"/>
      <c r="B378" s="4"/>
      <c r="C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ht="15.75" customHeight="1">
      <c r="A379" s="4"/>
      <c r="B379" s="4"/>
      <c r="C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ht="15.75" customHeight="1">
      <c r="A380" s="4"/>
      <c r="B380" s="4"/>
      <c r="C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ht="15.75" customHeight="1">
      <c r="A381" s="4"/>
      <c r="B381" s="4"/>
      <c r="C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ht="15.75" customHeight="1">
      <c r="A382" s="4"/>
      <c r="B382" s="4"/>
      <c r="C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ht="15.75" customHeight="1">
      <c r="A383" s="4"/>
      <c r="B383" s="4"/>
      <c r="C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ht="15.75" customHeight="1">
      <c r="A384" s="4"/>
      <c r="B384" s="4"/>
      <c r="C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ht="15.75" customHeight="1">
      <c r="A385" s="4"/>
      <c r="B385" s="4"/>
      <c r="C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ht="15.75" customHeight="1">
      <c r="A386" s="4"/>
      <c r="B386" s="4"/>
      <c r="C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ht="15.75" customHeight="1">
      <c r="A387" s="4"/>
      <c r="B387" s="4"/>
      <c r="C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ht="15.75" customHeight="1">
      <c r="A388" s="4"/>
      <c r="B388" s="4"/>
      <c r="C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ht="15.75" customHeight="1">
      <c r="A389" s="4"/>
      <c r="B389" s="4"/>
      <c r="C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ht="15.75" customHeight="1">
      <c r="A390" s="4"/>
      <c r="B390" s="4"/>
      <c r="C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ht="15.75" customHeight="1">
      <c r="A391" s="4"/>
      <c r="B391" s="4"/>
      <c r="C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ht="15.75" customHeight="1">
      <c r="A392" s="4"/>
      <c r="B392" s="4"/>
      <c r="C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ht="15.75" customHeight="1">
      <c r="A393" s="4"/>
      <c r="B393" s="4"/>
      <c r="C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ht="15.75" customHeight="1">
      <c r="A394" s="4"/>
      <c r="B394" s="4"/>
      <c r="C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ht="15.75" customHeight="1">
      <c r="A395" s="4"/>
      <c r="B395" s="4"/>
      <c r="C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ht="15.75" customHeight="1">
      <c r="A396" s="4"/>
      <c r="B396" s="4"/>
      <c r="C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ht="15.75" customHeight="1">
      <c r="A397" s="4"/>
      <c r="B397" s="4"/>
      <c r="C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ht="15.75" customHeight="1">
      <c r="A398" s="4"/>
      <c r="B398" s="4"/>
      <c r="C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ht="15.75" customHeight="1">
      <c r="A399" s="4"/>
      <c r="B399" s="4"/>
      <c r="C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ht="15.75" customHeight="1">
      <c r="A400" s="4"/>
      <c r="B400" s="4"/>
      <c r="C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ht="15.75" customHeight="1">
      <c r="A401" s="4"/>
      <c r="B401" s="4"/>
      <c r="C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ht="15.75" customHeight="1">
      <c r="A402" s="4"/>
      <c r="B402" s="4"/>
      <c r="C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ht="15.75" customHeight="1">
      <c r="A403" s="4"/>
      <c r="B403" s="4"/>
      <c r="C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ht="15.75" customHeight="1">
      <c r="A404" s="4"/>
      <c r="B404" s="4"/>
      <c r="C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ht="15.75" customHeight="1">
      <c r="A405" s="4"/>
      <c r="B405" s="4"/>
      <c r="C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ht="15.75" customHeight="1">
      <c r="A406" s="4"/>
      <c r="B406" s="4"/>
      <c r="C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ht="15.75" customHeight="1">
      <c r="A407" s="4"/>
      <c r="B407" s="4"/>
      <c r="C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ht="15.75" customHeight="1">
      <c r="A408" s="4"/>
      <c r="B408" s="4"/>
      <c r="C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ht="15.75" customHeight="1">
      <c r="A409" s="4"/>
      <c r="B409" s="4"/>
      <c r="C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ht="15.75" customHeight="1">
      <c r="A410" s="4"/>
      <c r="B410" s="4"/>
      <c r="C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ht="15.75" customHeight="1">
      <c r="A411" s="4"/>
      <c r="B411" s="4"/>
      <c r="C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ht="15.75" customHeight="1">
      <c r="A412" s="4"/>
      <c r="B412" s="4"/>
      <c r="C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ht="15.75" customHeight="1">
      <c r="A413" s="4"/>
      <c r="B413" s="4"/>
      <c r="C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ht="15.75" customHeight="1">
      <c r="A414" s="4"/>
      <c r="B414" s="4"/>
      <c r="C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ht="15.75" customHeight="1">
      <c r="A415" s="4"/>
      <c r="B415" s="4"/>
      <c r="C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ht="15.75" customHeight="1">
      <c r="A416" s="4"/>
      <c r="B416" s="4"/>
      <c r="C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ht="15.75" customHeight="1">
      <c r="A417" s="4"/>
      <c r="B417" s="4"/>
      <c r="C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ht="15.75" customHeight="1">
      <c r="A418" s="4"/>
      <c r="B418" s="4"/>
      <c r="C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ht="15.75" customHeight="1">
      <c r="A419" s="4"/>
      <c r="B419" s="4"/>
      <c r="C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ht="15.75" customHeight="1">
      <c r="A420" s="4"/>
      <c r="B420" s="4"/>
      <c r="C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ht="15.75" customHeight="1">
      <c r="A421" s="4"/>
      <c r="B421" s="4"/>
      <c r="C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ht="15.75" customHeight="1">
      <c r="A422" s="4"/>
      <c r="B422" s="4"/>
      <c r="C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ht="15.75" customHeight="1">
      <c r="A423" s="4"/>
      <c r="B423" s="4"/>
      <c r="C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ht="15.75" customHeight="1">
      <c r="A424" s="4"/>
      <c r="B424" s="4"/>
      <c r="C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ht="15.75" customHeight="1">
      <c r="A425" s="4"/>
      <c r="B425" s="4"/>
      <c r="C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ht="15.75" customHeight="1">
      <c r="A426" s="4"/>
      <c r="B426" s="4"/>
      <c r="C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ht="15.75" customHeight="1">
      <c r="A427" s="4"/>
      <c r="B427" s="4"/>
      <c r="C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ht="15.75" customHeight="1">
      <c r="A428" s="4"/>
      <c r="B428" s="4"/>
      <c r="C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ht="15.75" customHeight="1">
      <c r="A429" s="4"/>
      <c r="B429" s="4"/>
      <c r="C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ht="15.75" customHeight="1">
      <c r="A430" s="4"/>
      <c r="B430" s="4"/>
      <c r="C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ht="15.75" customHeight="1">
      <c r="A431" s="4"/>
      <c r="B431" s="4"/>
      <c r="C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ht="15.75" customHeight="1">
      <c r="A432" s="4"/>
      <c r="B432" s="4"/>
      <c r="C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ht="15.75" customHeight="1">
      <c r="A433" s="4"/>
      <c r="B433" s="4"/>
      <c r="C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ht="15.75" customHeight="1">
      <c r="A434" s="4"/>
      <c r="B434" s="4"/>
      <c r="C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ht="15.75" customHeight="1">
      <c r="A435" s="4"/>
      <c r="B435" s="4"/>
      <c r="C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ht="15.75" customHeight="1">
      <c r="A436" s="4"/>
      <c r="B436" s="4"/>
      <c r="C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ht="15.75" customHeight="1">
      <c r="A437" s="4"/>
      <c r="B437" s="4"/>
      <c r="C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ht="15.75" customHeight="1">
      <c r="A438" s="4"/>
      <c r="B438" s="4"/>
      <c r="C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ht="15.75" customHeight="1">
      <c r="A439" s="4"/>
      <c r="B439" s="4"/>
      <c r="C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ht="15.75" customHeight="1">
      <c r="A440" s="4"/>
      <c r="B440" s="4"/>
      <c r="C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ht="15.75" customHeight="1">
      <c r="A441" s="4"/>
      <c r="B441" s="4"/>
      <c r="C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ht="15.75" customHeight="1">
      <c r="A442" s="4"/>
      <c r="B442" s="4"/>
      <c r="C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ht="15.75" customHeight="1">
      <c r="A443" s="4"/>
      <c r="B443" s="4"/>
      <c r="C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ht="15.75" customHeight="1">
      <c r="A444" s="4"/>
      <c r="B444" s="4"/>
      <c r="C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ht="15.75" customHeight="1">
      <c r="A445" s="4"/>
      <c r="B445" s="4"/>
      <c r="C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ht="15.75" customHeight="1">
      <c r="A446" s="4"/>
      <c r="B446" s="4"/>
      <c r="C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ht="15.75" customHeight="1">
      <c r="A447" s="4"/>
      <c r="B447" s="4"/>
      <c r="C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ht="15.75" customHeight="1">
      <c r="A448" s="4"/>
      <c r="B448" s="4"/>
      <c r="C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ht="15.75" customHeight="1">
      <c r="A449" s="4"/>
      <c r="B449" s="4"/>
      <c r="C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ht="15.75" customHeight="1">
      <c r="A450" s="4"/>
      <c r="B450" s="4"/>
      <c r="C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ht="15.75" customHeight="1">
      <c r="A451" s="4"/>
      <c r="B451" s="4"/>
      <c r="C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ht="15.75" customHeight="1">
      <c r="A452" s="4"/>
      <c r="B452" s="4"/>
      <c r="C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ht="15.75" customHeight="1">
      <c r="A453" s="4"/>
      <c r="B453" s="4"/>
      <c r="C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ht="15.75" customHeight="1">
      <c r="A454" s="4"/>
      <c r="B454" s="4"/>
      <c r="C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ht="15.75" customHeight="1">
      <c r="A455" s="4"/>
      <c r="B455" s="4"/>
      <c r="C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ht="15.75" customHeight="1">
      <c r="A456" s="4"/>
      <c r="B456" s="4"/>
      <c r="C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ht="15.75" customHeight="1">
      <c r="A457" s="4"/>
      <c r="B457" s="4"/>
      <c r="C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ht="15.75" customHeight="1">
      <c r="A458" s="4"/>
      <c r="B458" s="4"/>
      <c r="C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ht="15.75" customHeight="1">
      <c r="A459" s="4"/>
      <c r="B459" s="4"/>
      <c r="C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ht="15.75" customHeight="1">
      <c r="A460" s="4"/>
      <c r="B460" s="4"/>
      <c r="C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ht="15.75" customHeight="1">
      <c r="A461" s="4"/>
      <c r="B461" s="4"/>
      <c r="C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ht="15.75" customHeight="1">
      <c r="A462" s="4"/>
      <c r="B462" s="4"/>
      <c r="C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ht="15.75" customHeight="1">
      <c r="A463" s="4"/>
      <c r="B463" s="4"/>
      <c r="C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ht="15.75" customHeight="1">
      <c r="A464" s="4"/>
      <c r="B464" s="4"/>
      <c r="C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ht="15.75" customHeight="1">
      <c r="A465" s="4"/>
      <c r="B465" s="4"/>
      <c r="C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ht="15.75" customHeight="1">
      <c r="A466" s="4"/>
      <c r="B466" s="4"/>
      <c r="C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ht="15.75" customHeight="1">
      <c r="A467" s="4"/>
      <c r="B467" s="4"/>
      <c r="C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ht="15.75" customHeight="1">
      <c r="A468" s="4"/>
      <c r="B468" s="4"/>
      <c r="C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ht="15.75" customHeight="1">
      <c r="A469" s="4"/>
      <c r="B469" s="4"/>
      <c r="C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ht="15.75" customHeight="1">
      <c r="A470" s="4"/>
      <c r="B470" s="4"/>
      <c r="C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ht="15.75" customHeight="1">
      <c r="A471" s="4"/>
      <c r="B471" s="4"/>
      <c r="C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ht="15.75" customHeight="1">
      <c r="A472" s="4"/>
      <c r="B472" s="4"/>
      <c r="C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ht="15.75" customHeight="1">
      <c r="A473" s="4"/>
      <c r="B473" s="4"/>
      <c r="C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ht="15.75" customHeight="1">
      <c r="A474" s="4"/>
      <c r="B474" s="4"/>
      <c r="C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ht="15.75" customHeight="1">
      <c r="A475" s="4"/>
      <c r="B475" s="4"/>
      <c r="C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ht="15.75" customHeight="1">
      <c r="A476" s="4"/>
      <c r="B476" s="4"/>
      <c r="C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ht="15.75" customHeight="1">
      <c r="A477" s="4"/>
      <c r="B477" s="4"/>
      <c r="C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ht="15.75" customHeight="1">
      <c r="A478" s="4"/>
      <c r="B478" s="4"/>
      <c r="C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ht="15.75" customHeight="1">
      <c r="A479" s="4"/>
      <c r="B479" s="4"/>
      <c r="C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ht="15.75" customHeight="1">
      <c r="A480" s="4"/>
      <c r="B480" s="4"/>
      <c r="C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ht="15.75" customHeight="1">
      <c r="A481" s="4"/>
      <c r="B481" s="4"/>
      <c r="C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ht="15.75" customHeight="1">
      <c r="A482" s="4"/>
      <c r="B482" s="4"/>
      <c r="C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ht="15.75" customHeight="1">
      <c r="A483" s="4"/>
      <c r="B483" s="4"/>
      <c r="C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ht="15.75" customHeight="1">
      <c r="A484" s="4"/>
      <c r="B484" s="4"/>
      <c r="C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ht="15.75" customHeight="1">
      <c r="A485" s="4"/>
      <c r="B485" s="4"/>
      <c r="C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ht="15.75" customHeight="1">
      <c r="A486" s="4"/>
      <c r="B486" s="4"/>
      <c r="C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ht="15.75" customHeight="1">
      <c r="A487" s="4"/>
      <c r="B487" s="4"/>
      <c r="C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ht="15.75" customHeight="1">
      <c r="A488" s="4"/>
      <c r="B488" s="4"/>
      <c r="C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ht="15.75" customHeight="1">
      <c r="A489" s="4"/>
      <c r="B489" s="4"/>
      <c r="C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ht="15.75" customHeight="1">
      <c r="A490" s="4"/>
      <c r="B490" s="4"/>
      <c r="C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ht="15.75" customHeight="1">
      <c r="A491" s="4"/>
      <c r="B491" s="4"/>
      <c r="C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ht="15.75" customHeight="1">
      <c r="A492" s="4"/>
      <c r="B492" s="4"/>
      <c r="C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ht="15.75" customHeight="1">
      <c r="A493" s="4"/>
      <c r="B493" s="4"/>
      <c r="C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ht="15.75" customHeight="1">
      <c r="A494" s="4"/>
      <c r="B494" s="4"/>
      <c r="C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ht="15.75" customHeight="1">
      <c r="A495" s="4"/>
      <c r="B495" s="4"/>
      <c r="C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ht="15.75" customHeight="1">
      <c r="A496" s="4"/>
      <c r="B496" s="4"/>
      <c r="C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ht="15.75" customHeight="1">
      <c r="A497" s="4"/>
      <c r="B497" s="4"/>
      <c r="C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ht="15.75" customHeight="1">
      <c r="A498" s="4"/>
      <c r="B498" s="4"/>
      <c r="C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ht="15.75" customHeight="1">
      <c r="A499" s="4"/>
      <c r="B499" s="4"/>
      <c r="C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ht="15.75" customHeight="1">
      <c r="A500" s="4"/>
      <c r="B500" s="4"/>
      <c r="C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ht="15.75" customHeight="1">
      <c r="A501" s="4"/>
      <c r="B501" s="4"/>
      <c r="C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ht="15.75" customHeight="1">
      <c r="A502" s="4"/>
      <c r="B502" s="4"/>
      <c r="C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ht="15.75" customHeight="1">
      <c r="A503" s="4"/>
      <c r="B503" s="4"/>
      <c r="C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ht="15.75" customHeight="1">
      <c r="A504" s="4"/>
      <c r="B504" s="4"/>
      <c r="C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ht="15.75" customHeight="1">
      <c r="A505" s="4"/>
      <c r="B505" s="4"/>
      <c r="C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ht="15.75" customHeight="1">
      <c r="A506" s="4"/>
      <c r="B506" s="4"/>
      <c r="C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ht="15.75" customHeight="1">
      <c r="A507" s="4"/>
      <c r="B507" s="4"/>
      <c r="C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ht="15.75" customHeight="1">
      <c r="A508" s="4"/>
      <c r="B508" s="4"/>
      <c r="C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ht="15.75" customHeight="1">
      <c r="A509" s="4"/>
      <c r="B509" s="4"/>
      <c r="C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ht="15.75" customHeight="1">
      <c r="A510" s="4"/>
      <c r="B510" s="4"/>
      <c r="C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ht="15.75" customHeight="1">
      <c r="A511" s="4"/>
      <c r="B511" s="4"/>
      <c r="C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ht="15.75" customHeight="1">
      <c r="A512" s="4"/>
      <c r="B512" s="4"/>
      <c r="C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ht="15.75" customHeight="1">
      <c r="A513" s="4"/>
      <c r="B513" s="4"/>
      <c r="C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ht="15.75" customHeight="1">
      <c r="A514" s="4"/>
      <c r="B514" s="4"/>
      <c r="C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ht="15.75" customHeight="1">
      <c r="A515" s="4"/>
      <c r="B515" s="4"/>
      <c r="C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ht="15.75" customHeight="1">
      <c r="A516" s="4"/>
      <c r="B516" s="4"/>
      <c r="C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ht="15.75" customHeight="1">
      <c r="A517" s="4"/>
      <c r="B517" s="4"/>
      <c r="C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ht="15.75" customHeight="1">
      <c r="A518" s="4"/>
      <c r="B518" s="4"/>
      <c r="C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ht="15.75" customHeight="1">
      <c r="A519" s="4"/>
      <c r="B519" s="4"/>
      <c r="C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ht="15.75" customHeight="1">
      <c r="A520" s="4"/>
      <c r="B520" s="4"/>
      <c r="C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ht="15.75" customHeight="1">
      <c r="A521" s="4"/>
      <c r="B521" s="4"/>
      <c r="C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ht="15.75" customHeight="1">
      <c r="A522" s="4"/>
      <c r="B522" s="4"/>
      <c r="C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ht="15.75" customHeight="1">
      <c r="A523" s="4"/>
      <c r="B523" s="4"/>
      <c r="C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ht="15.75" customHeight="1">
      <c r="A524" s="4"/>
      <c r="B524" s="4"/>
      <c r="C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ht="15.75" customHeight="1">
      <c r="A525" s="4"/>
      <c r="B525" s="4"/>
      <c r="C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ht="15.75" customHeight="1">
      <c r="A526" s="4"/>
      <c r="B526" s="4"/>
      <c r="C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ht="15.75" customHeight="1">
      <c r="A527" s="4"/>
      <c r="B527" s="4"/>
      <c r="C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ht="15.75" customHeight="1">
      <c r="A528" s="4"/>
      <c r="B528" s="4"/>
      <c r="C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ht="15.75" customHeight="1">
      <c r="A529" s="4"/>
      <c r="B529" s="4"/>
      <c r="C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ht="15.75" customHeight="1">
      <c r="A530" s="4"/>
      <c r="B530" s="4"/>
      <c r="C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ht="15.75" customHeight="1">
      <c r="A531" s="4"/>
      <c r="B531" s="4"/>
      <c r="C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ht="15.75" customHeight="1">
      <c r="A532" s="4"/>
      <c r="B532" s="4"/>
      <c r="C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ht="15.75" customHeight="1">
      <c r="A533" s="4"/>
      <c r="B533" s="4"/>
      <c r="C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ht="15.75" customHeight="1">
      <c r="A534" s="4"/>
      <c r="B534" s="4"/>
      <c r="C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ht="15.75" customHeight="1">
      <c r="A535" s="4"/>
      <c r="B535" s="4"/>
      <c r="C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ht="15.75" customHeight="1">
      <c r="A536" s="4"/>
      <c r="B536" s="4"/>
      <c r="C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ht="15.75" customHeight="1">
      <c r="A537" s="4"/>
      <c r="B537" s="4"/>
      <c r="C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ht="15.75" customHeight="1">
      <c r="A538" s="4"/>
      <c r="B538" s="4"/>
      <c r="C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ht="15.75" customHeight="1">
      <c r="A539" s="4"/>
      <c r="B539" s="4"/>
      <c r="C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ht="15.75" customHeight="1">
      <c r="A540" s="4"/>
      <c r="B540" s="4"/>
      <c r="C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ht="15.75" customHeight="1">
      <c r="A541" s="4"/>
      <c r="B541" s="4"/>
      <c r="C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ht="15.75" customHeight="1">
      <c r="A542" s="4"/>
      <c r="B542" s="4"/>
      <c r="C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ht="15.75" customHeight="1">
      <c r="A543" s="4"/>
      <c r="B543" s="4"/>
      <c r="C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ht="15.75" customHeight="1">
      <c r="A544" s="4"/>
      <c r="B544" s="4"/>
      <c r="C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ht="15.75" customHeight="1">
      <c r="A545" s="4"/>
      <c r="B545" s="4"/>
      <c r="C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ht="15.75" customHeight="1">
      <c r="A546" s="4"/>
      <c r="B546" s="4"/>
      <c r="C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ht="15.75" customHeight="1">
      <c r="A547" s="4"/>
      <c r="B547" s="4"/>
      <c r="C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ht="15.75" customHeight="1">
      <c r="A548" s="4"/>
      <c r="B548" s="4"/>
      <c r="C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ht="15.75" customHeight="1">
      <c r="A549" s="4"/>
      <c r="B549" s="4"/>
      <c r="C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ht="15.75" customHeight="1">
      <c r="A550" s="4"/>
      <c r="B550" s="4"/>
      <c r="C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ht="15.75" customHeight="1">
      <c r="A551" s="4"/>
      <c r="B551" s="4"/>
      <c r="C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ht="15.75" customHeight="1">
      <c r="A552" s="4"/>
      <c r="B552" s="4"/>
      <c r="C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ht="15.75" customHeight="1">
      <c r="A553" s="4"/>
      <c r="B553" s="4"/>
      <c r="C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ht="15.75" customHeight="1">
      <c r="A554" s="4"/>
      <c r="B554" s="4"/>
      <c r="C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ht="15.75" customHeight="1">
      <c r="A555" s="4"/>
      <c r="B555" s="4"/>
      <c r="C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ht="15.75" customHeight="1">
      <c r="A556" s="4"/>
      <c r="B556" s="4"/>
      <c r="C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ht="15.75" customHeight="1">
      <c r="A557" s="4"/>
      <c r="B557" s="4"/>
      <c r="C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ht="15.75" customHeight="1">
      <c r="A558" s="4"/>
      <c r="B558" s="4"/>
      <c r="C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ht="15.75" customHeight="1">
      <c r="A559" s="4"/>
      <c r="B559" s="4"/>
      <c r="C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ht="15.75" customHeight="1">
      <c r="A560" s="4"/>
      <c r="B560" s="4"/>
      <c r="C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ht="15.75" customHeight="1">
      <c r="A561" s="4"/>
      <c r="B561" s="4"/>
      <c r="C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ht="15.75" customHeight="1">
      <c r="A562" s="4"/>
      <c r="B562" s="4"/>
      <c r="C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ht="15.75" customHeight="1">
      <c r="A563" s="4"/>
      <c r="B563" s="4"/>
      <c r="C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ht="15.75" customHeight="1">
      <c r="A564" s="4"/>
      <c r="B564" s="4"/>
      <c r="C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ht="15.75" customHeight="1">
      <c r="A565" s="4"/>
      <c r="B565" s="4"/>
      <c r="C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ht="15.75" customHeight="1">
      <c r="A566" s="4"/>
      <c r="B566" s="4"/>
      <c r="C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ht="15.75" customHeight="1">
      <c r="A567" s="4"/>
      <c r="B567" s="4"/>
      <c r="C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ht="15.75" customHeight="1">
      <c r="A568" s="4"/>
      <c r="B568" s="4"/>
      <c r="C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ht="15.75" customHeight="1">
      <c r="A569" s="4"/>
      <c r="B569" s="4"/>
      <c r="C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ht="15.75" customHeight="1">
      <c r="A570" s="4"/>
      <c r="B570" s="4"/>
      <c r="C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ht="15.75" customHeight="1">
      <c r="A571" s="4"/>
      <c r="B571" s="4"/>
      <c r="C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ht="15.75" customHeight="1">
      <c r="A572" s="4"/>
      <c r="B572" s="4"/>
      <c r="C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ht="15.75" customHeight="1">
      <c r="A573" s="4"/>
      <c r="B573" s="4"/>
      <c r="C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ht="15.75" customHeight="1">
      <c r="A574" s="4"/>
      <c r="B574" s="4"/>
      <c r="C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ht="15.75" customHeight="1">
      <c r="A575" s="4"/>
      <c r="B575" s="4"/>
      <c r="C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ht="15.75" customHeight="1">
      <c r="A576" s="4"/>
      <c r="B576" s="4"/>
      <c r="C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ht="15.75" customHeight="1">
      <c r="A577" s="4"/>
      <c r="B577" s="4"/>
      <c r="C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ht="15.75" customHeight="1">
      <c r="A578" s="4"/>
      <c r="B578" s="4"/>
      <c r="C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ht="15.75" customHeight="1">
      <c r="A579" s="4"/>
      <c r="B579" s="4"/>
      <c r="C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ht="15.75" customHeight="1">
      <c r="A580" s="4"/>
      <c r="B580" s="4"/>
      <c r="C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ht="15.75" customHeight="1">
      <c r="A581" s="4"/>
      <c r="B581" s="4"/>
      <c r="C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ht="15.75" customHeight="1">
      <c r="A582" s="4"/>
      <c r="B582" s="4"/>
      <c r="C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ht="15.75" customHeight="1">
      <c r="A583" s="4"/>
      <c r="B583" s="4"/>
      <c r="C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ht="15.75" customHeight="1">
      <c r="A584" s="4"/>
      <c r="B584" s="4"/>
      <c r="C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ht="15.75" customHeight="1">
      <c r="A585" s="4"/>
      <c r="B585" s="4"/>
      <c r="C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ht="15.75" customHeight="1">
      <c r="A586" s="4"/>
      <c r="B586" s="4"/>
      <c r="C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ht="15.75" customHeight="1">
      <c r="A587" s="4"/>
      <c r="B587" s="4"/>
      <c r="C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ht="15.75" customHeight="1">
      <c r="A588" s="4"/>
      <c r="B588" s="4"/>
      <c r="C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ht="15.75" customHeight="1">
      <c r="A589" s="4"/>
      <c r="B589" s="4"/>
      <c r="C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ht="15.75" customHeight="1">
      <c r="A590" s="4"/>
      <c r="B590" s="4"/>
      <c r="C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ht="15.75" customHeight="1">
      <c r="A591" s="4"/>
      <c r="B591" s="4"/>
      <c r="C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ht="15.75" customHeight="1">
      <c r="A592" s="4"/>
      <c r="B592" s="4"/>
      <c r="C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ht="15.75" customHeight="1">
      <c r="A593" s="4"/>
      <c r="B593" s="4"/>
      <c r="C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ht="15.75" customHeight="1">
      <c r="A594" s="4"/>
      <c r="B594" s="4"/>
      <c r="C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ht="15.75" customHeight="1">
      <c r="A595" s="4"/>
      <c r="B595" s="4"/>
      <c r="C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ht="15.75" customHeight="1">
      <c r="A596" s="4"/>
      <c r="B596" s="4"/>
      <c r="C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ht="15.75" customHeight="1">
      <c r="A597" s="4"/>
      <c r="B597" s="4"/>
      <c r="C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ht="15.75" customHeight="1">
      <c r="A598" s="4"/>
      <c r="B598" s="4"/>
      <c r="C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ht="15.75" customHeight="1">
      <c r="A599" s="4"/>
      <c r="B599" s="4"/>
      <c r="C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ht="15.75" customHeight="1">
      <c r="A600" s="4"/>
      <c r="B600" s="4"/>
      <c r="C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ht="15.75" customHeight="1">
      <c r="A601" s="4"/>
      <c r="B601" s="4"/>
      <c r="C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ht="15.75" customHeight="1">
      <c r="A602" s="4"/>
      <c r="B602" s="4"/>
      <c r="C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ht="15.75" customHeight="1">
      <c r="A603" s="4"/>
      <c r="B603" s="4"/>
      <c r="C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ht="15.75" customHeight="1">
      <c r="A604" s="4"/>
      <c r="B604" s="4"/>
      <c r="C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ht="15.75" customHeight="1">
      <c r="A605" s="4"/>
      <c r="B605" s="4"/>
      <c r="C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ht="15.75" customHeight="1">
      <c r="A606" s="4"/>
      <c r="B606" s="4"/>
      <c r="C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ht="15.75" customHeight="1">
      <c r="A607" s="4"/>
      <c r="B607" s="4"/>
      <c r="C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ht="15.75" customHeight="1">
      <c r="A608" s="4"/>
      <c r="B608" s="4"/>
      <c r="C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ht="15.75" customHeight="1">
      <c r="A609" s="4"/>
      <c r="B609" s="4"/>
      <c r="C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ht="15.75" customHeight="1">
      <c r="A610" s="4"/>
      <c r="B610" s="4"/>
      <c r="C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ht="15.75" customHeight="1">
      <c r="A611" s="4"/>
      <c r="B611" s="4"/>
      <c r="C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ht="15.75" customHeight="1">
      <c r="A612" s="4"/>
      <c r="B612" s="4"/>
      <c r="C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ht="15.75" customHeight="1">
      <c r="A613" s="4"/>
      <c r="B613" s="4"/>
      <c r="C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ht="15.75" customHeight="1">
      <c r="A614" s="4"/>
      <c r="B614" s="4"/>
      <c r="C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ht="15.75" customHeight="1">
      <c r="A615" s="4"/>
      <c r="B615" s="4"/>
      <c r="C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ht="15.75" customHeight="1">
      <c r="A616" s="4"/>
      <c r="B616" s="4"/>
      <c r="C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ht="15.75" customHeight="1">
      <c r="A617" s="4"/>
      <c r="B617" s="4"/>
      <c r="C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ht="15.75" customHeight="1">
      <c r="A618" s="4"/>
      <c r="B618" s="4"/>
      <c r="C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ht="15.75" customHeight="1">
      <c r="A619" s="4"/>
      <c r="B619" s="4"/>
      <c r="C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ht="15.75" customHeight="1">
      <c r="A620" s="4"/>
      <c r="B620" s="4"/>
      <c r="C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ht="15.75" customHeight="1">
      <c r="A621" s="4"/>
      <c r="B621" s="4"/>
      <c r="C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ht="15.75" customHeight="1">
      <c r="A622" s="4"/>
      <c r="B622" s="4"/>
      <c r="C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ht="15.75" customHeight="1">
      <c r="A623" s="4"/>
      <c r="B623" s="4"/>
      <c r="C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ht="15.75" customHeight="1">
      <c r="A624" s="4"/>
      <c r="B624" s="4"/>
      <c r="C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ht="15.75" customHeight="1">
      <c r="A625" s="4"/>
      <c r="B625" s="4"/>
      <c r="C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ht="15.75" customHeight="1">
      <c r="A626" s="4"/>
      <c r="B626" s="4"/>
      <c r="C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ht="15.75" customHeight="1">
      <c r="A627" s="4"/>
      <c r="B627" s="4"/>
      <c r="C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ht="15.75" customHeight="1">
      <c r="A628" s="4"/>
      <c r="B628" s="4"/>
      <c r="C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ht="15.75" customHeight="1">
      <c r="A629" s="4"/>
      <c r="B629" s="4"/>
      <c r="C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ht="15.75" customHeight="1">
      <c r="A630" s="4"/>
      <c r="B630" s="4"/>
      <c r="C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ht="15.75" customHeight="1">
      <c r="A631" s="4"/>
      <c r="B631" s="4"/>
      <c r="C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ht="15.75" customHeight="1">
      <c r="A632" s="4"/>
      <c r="B632" s="4"/>
      <c r="C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ht="15.75" customHeight="1">
      <c r="A633" s="4"/>
      <c r="B633" s="4"/>
      <c r="C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ht="15.75" customHeight="1">
      <c r="A634" s="4"/>
      <c r="B634" s="4"/>
      <c r="C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ht="15.75" customHeight="1">
      <c r="A635" s="4"/>
      <c r="B635" s="4"/>
      <c r="C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ht="15.75" customHeight="1">
      <c r="A636" s="4"/>
      <c r="B636" s="4"/>
      <c r="C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ht="15.75" customHeight="1">
      <c r="A637" s="4"/>
      <c r="B637" s="4"/>
      <c r="C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ht="15.75" customHeight="1">
      <c r="A638" s="4"/>
      <c r="B638" s="4"/>
      <c r="C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ht="15.75" customHeight="1">
      <c r="A639" s="4"/>
      <c r="B639" s="4"/>
      <c r="C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ht="15.75" customHeight="1">
      <c r="A640" s="4"/>
      <c r="B640" s="4"/>
      <c r="C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ht="15.75" customHeight="1">
      <c r="A641" s="4"/>
      <c r="B641" s="4"/>
      <c r="C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ht="15.75" customHeight="1">
      <c r="A642" s="4"/>
      <c r="B642" s="4"/>
      <c r="C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ht="15.75" customHeight="1">
      <c r="A643" s="4"/>
      <c r="B643" s="4"/>
      <c r="C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ht="15.75" customHeight="1">
      <c r="A644" s="4"/>
      <c r="B644" s="4"/>
      <c r="C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ht="15.75" customHeight="1">
      <c r="A645" s="4"/>
      <c r="B645" s="4"/>
      <c r="C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ht="15.75" customHeight="1">
      <c r="A646" s="4"/>
      <c r="B646" s="4"/>
      <c r="C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ht="15.75" customHeight="1">
      <c r="A647" s="4"/>
      <c r="B647" s="4"/>
      <c r="C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ht="15.75" customHeight="1">
      <c r="A648" s="4"/>
      <c r="B648" s="4"/>
      <c r="C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ht="15.75" customHeight="1">
      <c r="A649" s="4"/>
      <c r="B649" s="4"/>
      <c r="C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ht="15.75" customHeight="1">
      <c r="A650" s="4"/>
      <c r="B650" s="4"/>
      <c r="C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ht="15.75" customHeight="1">
      <c r="A651" s="4"/>
      <c r="B651" s="4"/>
      <c r="C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ht="15.75" customHeight="1">
      <c r="A652" s="4"/>
      <c r="B652" s="4"/>
      <c r="C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ht="15.75" customHeight="1">
      <c r="A653" s="4"/>
      <c r="B653" s="4"/>
      <c r="C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ht="15.75" customHeight="1">
      <c r="A654" s="4"/>
      <c r="B654" s="4"/>
      <c r="C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ht="15.75" customHeight="1">
      <c r="A655" s="4"/>
      <c r="B655" s="4"/>
      <c r="C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ht="15.75" customHeight="1">
      <c r="A656" s="4"/>
      <c r="B656" s="4"/>
      <c r="C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ht="15.75" customHeight="1">
      <c r="A657" s="4"/>
      <c r="B657" s="4"/>
      <c r="C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ht="15.75" customHeight="1">
      <c r="A658" s="4"/>
      <c r="B658" s="4"/>
      <c r="C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ht="15.75" customHeight="1">
      <c r="A659" s="4"/>
      <c r="B659" s="4"/>
      <c r="C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ht="15.75" customHeight="1">
      <c r="A660" s="4"/>
      <c r="B660" s="4"/>
      <c r="C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ht="15.75" customHeight="1">
      <c r="A661" s="4"/>
      <c r="B661" s="4"/>
      <c r="C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ht="15.75" customHeight="1">
      <c r="A662" s="4"/>
      <c r="B662" s="4"/>
      <c r="C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ht="15.75" customHeight="1">
      <c r="A663" s="4"/>
      <c r="B663" s="4"/>
      <c r="C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ht="15.75" customHeight="1">
      <c r="A664" s="4"/>
      <c r="B664" s="4"/>
      <c r="C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ht="15.75" customHeight="1">
      <c r="A665" s="4"/>
      <c r="B665" s="4"/>
      <c r="C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ht="15.75" customHeight="1">
      <c r="A666" s="4"/>
      <c r="B666" s="4"/>
      <c r="C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ht="15.75" customHeight="1">
      <c r="A667" s="4"/>
      <c r="B667" s="4"/>
      <c r="C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ht="15.75" customHeight="1">
      <c r="A668" s="4"/>
      <c r="B668" s="4"/>
      <c r="C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ht="15.75" customHeight="1">
      <c r="A669" s="4"/>
      <c r="B669" s="4"/>
      <c r="C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ht="15.75" customHeight="1">
      <c r="A670" s="4"/>
      <c r="B670" s="4"/>
      <c r="C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ht="15.75" customHeight="1">
      <c r="A671" s="4"/>
      <c r="B671" s="4"/>
      <c r="C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ht="15.75" customHeight="1">
      <c r="A672" s="4"/>
      <c r="B672" s="4"/>
      <c r="C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ht="15.75" customHeight="1">
      <c r="A673" s="4"/>
      <c r="B673" s="4"/>
      <c r="C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ht="15.75" customHeight="1">
      <c r="A674" s="4"/>
      <c r="B674" s="4"/>
      <c r="C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ht="15.75" customHeight="1">
      <c r="A675" s="4"/>
      <c r="B675" s="4"/>
      <c r="C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ht="15.75" customHeight="1">
      <c r="A676" s="4"/>
      <c r="B676" s="4"/>
      <c r="C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ht="15.75" customHeight="1">
      <c r="A677" s="4"/>
      <c r="B677" s="4"/>
      <c r="C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ht="15.75" customHeight="1">
      <c r="A678" s="4"/>
      <c r="B678" s="4"/>
      <c r="C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ht="15.75" customHeight="1">
      <c r="A679" s="4"/>
      <c r="B679" s="4"/>
      <c r="C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ht="15.75" customHeight="1">
      <c r="A680" s="4"/>
      <c r="B680" s="4"/>
      <c r="C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ht="15.75" customHeight="1">
      <c r="A681" s="4"/>
      <c r="B681" s="4"/>
      <c r="C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ht="15.75" customHeight="1">
      <c r="A682" s="4"/>
      <c r="B682" s="4"/>
      <c r="C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ht="15.75" customHeight="1">
      <c r="A683" s="4"/>
      <c r="B683" s="4"/>
      <c r="C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ht="15.75" customHeight="1">
      <c r="A684" s="4"/>
      <c r="B684" s="4"/>
      <c r="C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ht="15.75" customHeight="1">
      <c r="A685" s="4"/>
      <c r="B685" s="4"/>
      <c r="C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ht="15.75" customHeight="1">
      <c r="A686" s="4"/>
      <c r="B686" s="4"/>
      <c r="C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ht="15.75" customHeight="1">
      <c r="A687" s="4"/>
      <c r="B687" s="4"/>
      <c r="C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ht="15.75" customHeight="1">
      <c r="A688" s="4"/>
      <c r="B688" s="4"/>
      <c r="C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ht="15.75" customHeight="1">
      <c r="A689" s="4"/>
      <c r="B689" s="4"/>
      <c r="C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ht="15.75" customHeight="1">
      <c r="A690" s="4"/>
      <c r="B690" s="4"/>
      <c r="C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ht="15.75" customHeight="1">
      <c r="A691" s="4"/>
      <c r="B691" s="4"/>
      <c r="C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ht="15.75" customHeight="1">
      <c r="A692" s="4"/>
      <c r="B692" s="4"/>
      <c r="C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ht="15.75" customHeight="1">
      <c r="A693" s="4"/>
      <c r="B693" s="4"/>
      <c r="C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ht="15.75" customHeight="1">
      <c r="A694" s="4"/>
      <c r="B694" s="4"/>
      <c r="C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ht="15.75" customHeight="1">
      <c r="A695" s="4"/>
      <c r="B695" s="4"/>
      <c r="C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ht="15.75" customHeight="1">
      <c r="A696" s="4"/>
      <c r="B696" s="4"/>
      <c r="C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ht="15.75" customHeight="1">
      <c r="A697" s="4"/>
      <c r="B697" s="4"/>
      <c r="C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ht="15.75" customHeight="1">
      <c r="A698" s="4"/>
      <c r="B698" s="4"/>
      <c r="C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ht="15.75" customHeight="1">
      <c r="A699" s="4"/>
      <c r="B699" s="4"/>
      <c r="C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ht="15.75" customHeight="1">
      <c r="A700" s="4"/>
      <c r="B700" s="4"/>
      <c r="C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ht="15.75" customHeight="1">
      <c r="A701" s="4"/>
      <c r="B701" s="4"/>
      <c r="C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ht="15.75" customHeight="1">
      <c r="A702" s="4"/>
      <c r="B702" s="4"/>
      <c r="C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ht="15.75" customHeight="1">
      <c r="A703" s="4"/>
      <c r="B703" s="4"/>
      <c r="C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ht="15.75" customHeight="1">
      <c r="A704" s="4"/>
      <c r="B704" s="4"/>
      <c r="C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ht="15.75" customHeight="1">
      <c r="A705" s="4"/>
      <c r="B705" s="4"/>
      <c r="C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ht="15.75" customHeight="1">
      <c r="A706" s="4"/>
      <c r="B706" s="4"/>
      <c r="C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ht="15.75" customHeight="1">
      <c r="A707" s="4"/>
      <c r="B707" s="4"/>
      <c r="C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ht="15.75" customHeight="1">
      <c r="A708" s="4"/>
      <c r="B708" s="4"/>
      <c r="C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ht="15.75" customHeight="1">
      <c r="A709" s="4"/>
      <c r="B709" s="4"/>
      <c r="C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ht="15.75" customHeight="1">
      <c r="A710" s="4"/>
      <c r="B710" s="4"/>
      <c r="C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ht="15.75" customHeight="1">
      <c r="A711" s="4"/>
      <c r="B711" s="4"/>
      <c r="C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ht="15.75" customHeight="1">
      <c r="A712" s="4"/>
      <c r="B712" s="4"/>
      <c r="C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ht="15.75" customHeight="1">
      <c r="A713" s="4"/>
      <c r="B713" s="4"/>
      <c r="C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ht="15.75" customHeight="1">
      <c r="A714" s="4"/>
      <c r="B714" s="4"/>
      <c r="C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ht="15.75" customHeight="1">
      <c r="A715" s="4"/>
      <c r="B715" s="4"/>
      <c r="C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ht="15.75" customHeight="1">
      <c r="A716" s="4"/>
      <c r="B716" s="4"/>
      <c r="C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ht="15.75" customHeight="1">
      <c r="A717" s="4"/>
      <c r="B717" s="4"/>
      <c r="C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ht="15.75" customHeight="1">
      <c r="A718" s="4"/>
      <c r="B718" s="4"/>
      <c r="C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ht="15.75" customHeight="1">
      <c r="A719" s="4"/>
      <c r="B719" s="4"/>
      <c r="C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ht="15.75" customHeight="1">
      <c r="A720" s="4"/>
      <c r="B720" s="4"/>
      <c r="C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ht="15.75" customHeight="1">
      <c r="A721" s="4"/>
      <c r="B721" s="4"/>
      <c r="C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ht="15.75" customHeight="1">
      <c r="A722" s="4"/>
      <c r="B722" s="4"/>
      <c r="C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ht="15.75" customHeight="1">
      <c r="A723" s="4"/>
      <c r="B723" s="4"/>
      <c r="C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ht="15.75" customHeight="1">
      <c r="A724" s="4"/>
      <c r="B724" s="4"/>
      <c r="C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ht="15.75" customHeight="1">
      <c r="A725" s="4"/>
      <c r="B725" s="4"/>
      <c r="C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ht="15.75" customHeight="1">
      <c r="A726" s="4"/>
      <c r="B726" s="4"/>
      <c r="C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ht="15.75" customHeight="1">
      <c r="A727" s="4"/>
      <c r="B727" s="4"/>
      <c r="C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ht="15.75" customHeight="1">
      <c r="A728" s="4"/>
      <c r="B728" s="4"/>
      <c r="C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ht="15.75" customHeight="1">
      <c r="A729" s="4"/>
      <c r="B729" s="4"/>
      <c r="C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ht="15.75" customHeight="1">
      <c r="A730" s="4"/>
      <c r="B730" s="4"/>
      <c r="C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ht="15.75" customHeight="1">
      <c r="A731" s="4"/>
      <c r="B731" s="4"/>
      <c r="C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ht="15.75" customHeight="1">
      <c r="A732" s="4"/>
      <c r="B732" s="4"/>
      <c r="C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ht="15.75" customHeight="1">
      <c r="A733" s="4"/>
      <c r="B733" s="4"/>
      <c r="C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ht="15.75" customHeight="1">
      <c r="A734" s="4"/>
      <c r="B734" s="4"/>
      <c r="C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ht="15.75" customHeight="1">
      <c r="A735" s="4"/>
      <c r="B735" s="4"/>
      <c r="C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ht="15.75" customHeight="1">
      <c r="A736" s="4"/>
      <c r="B736" s="4"/>
      <c r="C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ht="15.75" customHeight="1">
      <c r="A737" s="4"/>
      <c r="B737" s="4"/>
      <c r="C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ht="15.75" customHeight="1">
      <c r="A738" s="4"/>
      <c r="B738" s="4"/>
      <c r="C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ht="15.75" customHeight="1">
      <c r="A739" s="4"/>
      <c r="B739" s="4"/>
      <c r="C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ht="15.75" customHeight="1">
      <c r="A740" s="4"/>
      <c r="B740" s="4"/>
      <c r="C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ht="15.75" customHeight="1">
      <c r="A741" s="4"/>
      <c r="B741" s="4"/>
      <c r="C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ht="15.75" customHeight="1">
      <c r="A742" s="4"/>
      <c r="B742" s="4"/>
      <c r="C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ht="15.75" customHeight="1">
      <c r="A743" s="4"/>
      <c r="B743" s="4"/>
      <c r="C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ht="15.75" customHeight="1">
      <c r="A744" s="4"/>
      <c r="B744" s="4"/>
      <c r="C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ht="15.75" customHeight="1">
      <c r="A745" s="4"/>
      <c r="B745" s="4"/>
      <c r="C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ht="15.75" customHeight="1">
      <c r="A746" s="4"/>
      <c r="B746" s="4"/>
      <c r="C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ht="15.75" customHeight="1">
      <c r="A747" s="4"/>
      <c r="B747" s="4"/>
      <c r="C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ht="15.75" customHeight="1">
      <c r="A748" s="4"/>
      <c r="B748" s="4"/>
      <c r="C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ht="15.75" customHeight="1">
      <c r="A749" s="4"/>
      <c r="B749" s="4"/>
      <c r="C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ht="15.75" customHeight="1">
      <c r="A750" s="4"/>
      <c r="B750" s="4"/>
      <c r="C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ht="15.75" customHeight="1">
      <c r="A751" s="4"/>
      <c r="B751" s="4"/>
      <c r="C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ht="15.75" customHeight="1">
      <c r="A752" s="4"/>
      <c r="B752" s="4"/>
      <c r="C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ht="15.75" customHeight="1">
      <c r="A753" s="4"/>
      <c r="B753" s="4"/>
      <c r="C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ht="15.75" customHeight="1">
      <c r="A754" s="4"/>
      <c r="B754" s="4"/>
      <c r="C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ht="15.75" customHeight="1">
      <c r="A755" s="4"/>
      <c r="B755" s="4"/>
      <c r="C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ht="15.75" customHeight="1">
      <c r="A756" s="4"/>
      <c r="B756" s="4"/>
      <c r="C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ht="15.75" customHeight="1">
      <c r="A757" s="4"/>
      <c r="B757" s="4"/>
      <c r="C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ht="15.75" customHeight="1">
      <c r="A758" s="4"/>
      <c r="B758" s="4"/>
      <c r="C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ht="15.75" customHeight="1">
      <c r="A759" s="4"/>
      <c r="B759" s="4"/>
      <c r="C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ht="15.75" customHeight="1">
      <c r="A760" s="4"/>
      <c r="B760" s="4"/>
      <c r="C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ht="15.75" customHeight="1">
      <c r="A761" s="4"/>
      <c r="B761" s="4"/>
      <c r="C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ht="15.75" customHeight="1">
      <c r="A762" s="4"/>
      <c r="B762" s="4"/>
      <c r="C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ht="15.75" customHeight="1">
      <c r="A763" s="4"/>
      <c r="B763" s="4"/>
      <c r="C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ht="15.75" customHeight="1">
      <c r="A764" s="4"/>
      <c r="B764" s="4"/>
      <c r="C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ht="15.75" customHeight="1">
      <c r="A765" s="4"/>
      <c r="B765" s="4"/>
      <c r="C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ht="15.75" customHeight="1">
      <c r="A766" s="4"/>
      <c r="B766" s="4"/>
      <c r="C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ht="15.75" customHeight="1">
      <c r="A767" s="4"/>
      <c r="B767" s="4"/>
      <c r="C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ht="15.75" customHeight="1">
      <c r="A768" s="4"/>
      <c r="B768" s="4"/>
      <c r="C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ht="15.75" customHeight="1">
      <c r="A769" s="4"/>
      <c r="B769" s="4"/>
      <c r="C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ht="15.75" customHeight="1">
      <c r="A770" s="4"/>
      <c r="B770" s="4"/>
      <c r="C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ht="15.75" customHeight="1">
      <c r="A771" s="4"/>
      <c r="B771" s="4"/>
      <c r="C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ht="15.75" customHeight="1">
      <c r="A772" s="4"/>
      <c r="B772" s="4"/>
      <c r="C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ht="15.75" customHeight="1">
      <c r="A773" s="4"/>
      <c r="B773" s="4"/>
      <c r="C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ht="15.75" customHeight="1">
      <c r="A774" s="4"/>
      <c r="B774" s="4"/>
      <c r="C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ht="15.75" customHeight="1">
      <c r="A775" s="4"/>
      <c r="B775" s="4"/>
      <c r="C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ht="15.75" customHeight="1">
      <c r="A776" s="4"/>
      <c r="B776" s="4"/>
      <c r="C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ht="15.75" customHeight="1">
      <c r="A777" s="4"/>
      <c r="B777" s="4"/>
      <c r="C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ht="15.75" customHeight="1">
      <c r="A778" s="4"/>
      <c r="B778" s="4"/>
      <c r="C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ht="15.75" customHeight="1">
      <c r="A779" s="4"/>
      <c r="B779" s="4"/>
      <c r="C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ht="15.75" customHeight="1">
      <c r="A780" s="4"/>
      <c r="B780" s="4"/>
      <c r="C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ht="15.75" customHeight="1">
      <c r="A781" s="4"/>
      <c r="B781" s="4"/>
      <c r="C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ht="15.75" customHeight="1">
      <c r="A782" s="4"/>
      <c r="B782" s="4"/>
      <c r="C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ht="15.75" customHeight="1">
      <c r="A783" s="4"/>
      <c r="B783" s="4"/>
      <c r="C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ht="15.75" customHeight="1">
      <c r="A784" s="4"/>
      <c r="B784" s="4"/>
      <c r="C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ht="15.75" customHeight="1">
      <c r="A785" s="4"/>
      <c r="B785" s="4"/>
      <c r="C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ht="15.75" customHeight="1">
      <c r="A786" s="4"/>
      <c r="B786" s="4"/>
      <c r="C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ht="15.75" customHeight="1">
      <c r="A787" s="4"/>
      <c r="B787" s="4"/>
      <c r="C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ht="15.75" customHeight="1">
      <c r="A788" s="4"/>
      <c r="B788" s="4"/>
      <c r="C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ht="15.75" customHeight="1">
      <c r="A789" s="4"/>
      <c r="B789" s="4"/>
      <c r="C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ht="15.75" customHeight="1">
      <c r="A790" s="4"/>
      <c r="B790" s="4"/>
      <c r="C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ht="15.75" customHeight="1">
      <c r="A791" s="4"/>
      <c r="B791" s="4"/>
      <c r="C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ht="15.75" customHeight="1">
      <c r="A792" s="4"/>
      <c r="B792" s="4"/>
      <c r="C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ht="15.75" customHeight="1">
      <c r="A793" s="4"/>
      <c r="B793" s="4"/>
      <c r="C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ht="15.75" customHeight="1">
      <c r="A794" s="4"/>
      <c r="B794" s="4"/>
      <c r="C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ht="15.75" customHeight="1">
      <c r="A795" s="4"/>
      <c r="B795" s="4"/>
      <c r="C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ht="15.75" customHeight="1">
      <c r="A796" s="4"/>
      <c r="B796" s="4"/>
      <c r="C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ht="15.75" customHeight="1">
      <c r="A797" s="4"/>
      <c r="B797" s="4"/>
      <c r="C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ht="15.75" customHeight="1">
      <c r="A798" s="4"/>
      <c r="B798" s="4"/>
      <c r="C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ht="15.75" customHeight="1">
      <c r="A799" s="4"/>
      <c r="B799" s="4"/>
      <c r="C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ht="15.75" customHeight="1">
      <c r="A800" s="4"/>
      <c r="B800" s="4"/>
      <c r="C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ht="15.75" customHeight="1">
      <c r="A801" s="4"/>
      <c r="B801" s="4"/>
      <c r="C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ht="15.75" customHeight="1">
      <c r="A802" s="4"/>
      <c r="B802" s="4"/>
      <c r="C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ht="15.75" customHeight="1">
      <c r="A803" s="4"/>
      <c r="B803" s="4"/>
      <c r="C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ht="15.75" customHeight="1">
      <c r="A804" s="4"/>
      <c r="B804" s="4"/>
      <c r="C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ht="15.75" customHeight="1">
      <c r="A805" s="4"/>
      <c r="B805" s="4"/>
      <c r="C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ht="15.75" customHeight="1">
      <c r="A806" s="4"/>
      <c r="B806" s="4"/>
      <c r="C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ht="15.75" customHeight="1">
      <c r="A807" s="4"/>
      <c r="B807" s="4"/>
      <c r="C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ht="15.75" customHeight="1">
      <c r="A808" s="4"/>
      <c r="B808" s="4"/>
      <c r="C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ht="15.75" customHeight="1">
      <c r="A809" s="4"/>
      <c r="B809" s="4"/>
      <c r="C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ht="15.75" customHeight="1">
      <c r="A810" s="4"/>
      <c r="B810" s="4"/>
      <c r="C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ht="15.75" customHeight="1">
      <c r="A811" s="4"/>
      <c r="B811" s="4"/>
      <c r="C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ht="15.75" customHeight="1">
      <c r="A812" s="4"/>
      <c r="B812" s="4"/>
      <c r="C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ht="15.75" customHeight="1">
      <c r="A813" s="4"/>
      <c r="B813" s="4"/>
      <c r="C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ht="15.75" customHeight="1">
      <c r="A814" s="4"/>
      <c r="B814" s="4"/>
      <c r="C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ht="15.75" customHeight="1">
      <c r="A815" s="4"/>
      <c r="B815" s="4"/>
      <c r="C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ht="15.75" customHeight="1">
      <c r="A816" s="4"/>
      <c r="B816" s="4"/>
      <c r="C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ht="15.75" customHeight="1">
      <c r="A817" s="4"/>
      <c r="B817" s="4"/>
      <c r="C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ht="15.75" customHeight="1">
      <c r="A818" s="4"/>
      <c r="B818" s="4"/>
      <c r="C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ht="15.75" customHeight="1">
      <c r="A819" s="4"/>
      <c r="B819" s="4"/>
      <c r="C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ht="15.75" customHeight="1">
      <c r="A820" s="4"/>
      <c r="B820" s="4"/>
      <c r="C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ht="15.75" customHeight="1">
      <c r="A821" s="4"/>
      <c r="B821" s="4"/>
      <c r="C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ht="15.75" customHeight="1">
      <c r="A822" s="4"/>
      <c r="B822" s="4"/>
      <c r="C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ht="15.75" customHeight="1">
      <c r="A823" s="4"/>
      <c r="B823" s="4"/>
      <c r="C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ht="15.75" customHeight="1">
      <c r="A824" s="4"/>
      <c r="B824" s="4"/>
      <c r="C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ht="15.75" customHeight="1">
      <c r="A825" s="4"/>
      <c r="B825" s="4"/>
      <c r="C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ht="15.75" customHeight="1">
      <c r="A826" s="4"/>
      <c r="B826" s="4"/>
      <c r="C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ht="15.75" customHeight="1">
      <c r="A827" s="4"/>
      <c r="B827" s="4"/>
      <c r="C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ht="15.75" customHeight="1">
      <c r="A828" s="4"/>
      <c r="B828" s="4"/>
      <c r="C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ht="15.75" customHeight="1">
      <c r="A829" s="4"/>
      <c r="B829" s="4"/>
      <c r="C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ht="15.75" customHeight="1">
      <c r="A830" s="4"/>
      <c r="B830" s="4"/>
      <c r="C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ht="15.75" customHeight="1">
      <c r="A831" s="4"/>
      <c r="B831" s="4"/>
      <c r="C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ht="15.75" customHeight="1">
      <c r="A832" s="4"/>
      <c r="B832" s="4"/>
      <c r="C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ht="15.75" customHeight="1">
      <c r="A833" s="4"/>
      <c r="B833" s="4"/>
      <c r="C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ht="15.75" customHeight="1">
      <c r="A834" s="4"/>
      <c r="B834" s="4"/>
      <c r="C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ht="15.75" customHeight="1">
      <c r="A835" s="4"/>
      <c r="B835" s="4"/>
      <c r="C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ht="15.75" customHeight="1">
      <c r="A836" s="4"/>
      <c r="B836" s="4"/>
      <c r="C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ht="15.75" customHeight="1">
      <c r="A837" s="4"/>
      <c r="B837" s="4"/>
      <c r="C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ht="15.75" customHeight="1">
      <c r="A838" s="4"/>
      <c r="B838" s="4"/>
      <c r="C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ht="15.75" customHeight="1">
      <c r="A839" s="4"/>
      <c r="B839" s="4"/>
      <c r="C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ht="15.75" customHeight="1">
      <c r="A840" s="4"/>
      <c r="B840" s="4"/>
      <c r="C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ht="15.75" customHeight="1">
      <c r="A841" s="4"/>
      <c r="B841" s="4"/>
      <c r="C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ht="15.75" customHeight="1">
      <c r="A842" s="4"/>
      <c r="B842" s="4"/>
      <c r="C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ht="15.75" customHeight="1">
      <c r="A843" s="4"/>
      <c r="B843" s="4"/>
      <c r="C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ht="15.75" customHeight="1">
      <c r="A844" s="4"/>
      <c r="B844" s="4"/>
      <c r="C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ht="15.75" customHeight="1">
      <c r="A845" s="4"/>
      <c r="B845" s="4"/>
      <c r="C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ht="15.75" customHeight="1">
      <c r="A846" s="4"/>
      <c r="B846" s="4"/>
      <c r="C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ht="15.75" customHeight="1">
      <c r="A847" s="4"/>
      <c r="B847" s="4"/>
      <c r="C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ht="15.75" customHeight="1">
      <c r="A848" s="4"/>
      <c r="B848" s="4"/>
      <c r="C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ht="15.75" customHeight="1">
      <c r="A849" s="4"/>
      <c r="B849" s="4"/>
      <c r="C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ht="15.75" customHeight="1">
      <c r="A850" s="4"/>
      <c r="B850" s="4"/>
      <c r="C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ht="15.75" customHeight="1">
      <c r="A851" s="4"/>
      <c r="B851" s="4"/>
      <c r="C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ht="15.75" customHeight="1">
      <c r="A852" s="4"/>
      <c r="B852" s="4"/>
      <c r="C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ht="15.75" customHeight="1">
      <c r="A853" s="4"/>
      <c r="B853" s="4"/>
      <c r="C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ht="15.75" customHeight="1">
      <c r="A854" s="4"/>
      <c r="B854" s="4"/>
      <c r="C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ht="15.75" customHeight="1">
      <c r="A855" s="4"/>
      <c r="B855" s="4"/>
      <c r="C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ht="15.75" customHeight="1">
      <c r="A856" s="4"/>
      <c r="B856" s="4"/>
      <c r="C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ht="15.75" customHeight="1">
      <c r="A857" s="4"/>
      <c r="B857" s="4"/>
      <c r="C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ht="15.75" customHeight="1">
      <c r="A858" s="4"/>
      <c r="B858" s="4"/>
      <c r="C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ht="15.75" customHeight="1">
      <c r="A859" s="4"/>
      <c r="B859" s="4"/>
      <c r="C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ht="15.75" customHeight="1">
      <c r="A860" s="4"/>
      <c r="B860" s="4"/>
      <c r="C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ht="15.75" customHeight="1">
      <c r="A861" s="4"/>
      <c r="B861" s="4"/>
      <c r="C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ht="15.75" customHeight="1">
      <c r="A862" s="4"/>
      <c r="B862" s="4"/>
      <c r="C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ht="15.75" customHeight="1">
      <c r="A863" s="4"/>
      <c r="B863" s="4"/>
      <c r="C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ht="15.75" customHeight="1">
      <c r="A864" s="4"/>
      <c r="B864" s="4"/>
      <c r="C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ht="15.75" customHeight="1">
      <c r="A865" s="4"/>
      <c r="B865" s="4"/>
      <c r="C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ht="15.75" customHeight="1">
      <c r="A866" s="4"/>
      <c r="B866" s="4"/>
      <c r="C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ht="15.75" customHeight="1">
      <c r="A867" s="4"/>
      <c r="B867" s="4"/>
      <c r="C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ht="15.75" customHeight="1">
      <c r="A868" s="4"/>
      <c r="B868" s="4"/>
      <c r="C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ht="15.75" customHeight="1">
      <c r="A869" s="4"/>
      <c r="B869" s="4"/>
      <c r="C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ht="15.75" customHeight="1">
      <c r="A870" s="4"/>
      <c r="B870" s="4"/>
      <c r="C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ht="15.75" customHeight="1">
      <c r="A871" s="4"/>
      <c r="B871" s="4"/>
      <c r="C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ht="15.75" customHeight="1">
      <c r="A872" s="4"/>
      <c r="B872" s="4"/>
      <c r="C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ht="15.75" customHeight="1">
      <c r="A873" s="4"/>
      <c r="B873" s="4"/>
      <c r="C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ht="15.75" customHeight="1">
      <c r="A874" s="4"/>
      <c r="B874" s="4"/>
      <c r="C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ht="15.75" customHeight="1">
      <c r="A875" s="4"/>
      <c r="B875" s="4"/>
      <c r="C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ht="15.75" customHeight="1">
      <c r="A876" s="4"/>
      <c r="B876" s="4"/>
      <c r="C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ht="15.75" customHeight="1">
      <c r="A877" s="4"/>
      <c r="B877" s="4"/>
      <c r="C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ht="15.75" customHeight="1">
      <c r="A878" s="4"/>
      <c r="B878" s="4"/>
      <c r="C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ht="15.75" customHeight="1">
      <c r="A879" s="4"/>
      <c r="B879" s="4"/>
      <c r="C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ht="15.75" customHeight="1">
      <c r="A880" s="4"/>
      <c r="B880" s="4"/>
      <c r="C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ht="15.75" customHeight="1">
      <c r="A881" s="4"/>
      <c r="B881" s="4"/>
      <c r="C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ht="15.75" customHeight="1">
      <c r="A882" s="4"/>
      <c r="B882" s="4"/>
      <c r="C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ht="15.75" customHeight="1">
      <c r="A883" s="4"/>
      <c r="B883" s="4"/>
      <c r="C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ht="15.75" customHeight="1">
      <c r="A884" s="4"/>
      <c r="B884" s="4"/>
      <c r="C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ht="15.75" customHeight="1">
      <c r="A885" s="4"/>
      <c r="B885" s="4"/>
      <c r="C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ht="15.75" customHeight="1">
      <c r="A886" s="4"/>
      <c r="B886" s="4"/>
      <c r="C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ht="15.75" customHeight="1">
      <c r="A887" s="4"/>
      <c r="B887" s="4"/>
      <c r="C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ht="15.75" customHeight="1">
      <c r="A888" s="4"/>
      <c r="B888" s="4"/>
      <c r="C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ht="15.75" customHeight="1">
      <c r="A889" s="4"/>
      <c r="B889" s="4"/>
      <c r="C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ht="15.75" customHeight="1">
      <c r="A890" s="4"/>
      <c r="B890" s="4"/>
      <c r="C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ht="15.75" customHeight="1">
      <c r="A891" s="4"/>
      <c r="B891" s="4"/>
      <c r="C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ht="15.75" customHeight="1">
      <c r="A892" s="4"/>
      <c r="B892" s="4"/>
      <c r="C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ht="15.75" customHeight="1">
      <c r="A893" s="4"/>
      <c r="B893" s="4"/>
      <c r="C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ht="15.75" customHeight="1">
      <c r="A894" s="4"/>
      <c r="B894" s="4"/>
      <c r="C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ht="15.75" customHeight="1">
      <c r="A895" s="4"/>
      <c r="B895" s="4"/>
      <c r="C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ht="15.75" customHeight="1">
      <c r="A896" s="4"/>
      <c r="B896" s="4"/>
      <c r="C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ht="15.75" customHeight="1">
      <c r="A897" s="4"/>
      <c r="B897" s="4"/>
      <c r="C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ht="15.75" customHeight="1">
      <c r="A898" s="4"/>
      <c r="B898" s="4"/>
      <c r="C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ht="15.75" customHeight="1">
      <c r="A899" s="4"/>
      <c r="B899" s="4"/>
      <c r="C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ht="15.75" customHeight="1">
      <c r="A900" s="4"/>
      <c r="B900" s="4"/>
      <c r="C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ht="15.75" customHeight="1">
      <c r="A901" s="4"/>
      <c r="B901" s="4"/>
      <c r="C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ht="15.75" customHeight="1">
      <c r="A902" s="4"/>
      <c r="B902" s="4"/>
      <c r="C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ht="15.75" customHeight="1">
      <c r="A903" s="4"/>
      <c r="B903" s="4"/>
      <c r="C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ht="15.75" customHeight="1">
      <c r="A904" s="4"/>
      <c r="B904" s="4"/>
      <c r="C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ht="15.75" customHeight="1">
      <c r="A905" s="4"/>
      <c r="B905" s="4"/>
      <c r="C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ht="15.75" customHeight="1">
      <c r="A906" s="4"/>
      <c r="B906" s="4"/>
      <c r="C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ht="15.75" customHeight="1">
      <c r="A907" s="4"/>
      <c r="B907" s="4"/>
      <c r="C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ht="15.75" customHeight="1">
      <c r="A908" s="4"/>
      <c r="B908" s="4"/>
      <c r="C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ht="15.75" customHeight="1">
      <c r="A909" s="4"/>
      <c r="B909" s="4"/>
      <c r="C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ht="15.75" customHeight="1">
      <c r="A910" s="4"/>
      <c r="B910" s="4"/>
      <c r="C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ht="15.75" customHeight="1">
      <c r="A911" s="4"/>
      <c r="B911" s="4"/>
      <c r="C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ht="15.75" customHeight="1">
      <c r="A912" s="4"/>
      <c r="B912" s="4"/>
      <c r="C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ht="15.75" customHeight="1">
      <c r="A913" s="4"/>
      <c r="B913" s="4"/>
      <c r="C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ht="15.75" customHeight="1">
      <c r="A914" s="4"/>
      <c r="B914" s="4"/>
      <c r="C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ht="15.75" customHeight="1">
      <c r="A915" s="4"/>
      <c r="B915" s="4"/>
      <c r="C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ht="15.75" customHeight="1">
      <c r="A916" s="4"/>
      <c r="B916" s="4"/>
      <c r="C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ht="15.75" customHeight="1">
      <c r="A917" s="4"/>
      <c r="B917" s="4"/>
      <c r="C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ht="15.75" customHeight="1">
      <c r="A918" s="4"/>
      <c r="B918" s="4"/>
      <c r="C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ht="15.75" customHeight="1">
      <c r="A919" s="4"/>
      <c r="B919" s="4"/>
      <c r="C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ht="15.75" customHeight="1">
      <c r="A920" s="4"/>
      <c r="B920" s="4"/>
      <c r="C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ht="15.75" customHeight="1">
      <c r="A921" s="4"/>
      <c r="B921" s="4"/>
      <c r="C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ht="15.75" customHeight="1">
      <c r="A922" s="4"/>
      <c r="B922" s="4"/>
      <c r="C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ht="15.75" customHeight="1">
      <c r="A923" s="4"/>
      <c r="B923" s="4"/>
      <c r="C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ht="15.75" customHeight="1">
      <c r="A924" s="4"/>
      <c r="B924" s="4"/>
      <c r="C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ht="15.75" customHeight="1">
      <c r="A925" s="4"/>
      <c r="B925" s="4"/>
      <c r="C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ht="15.75" customHeight="1">
      <c r="A926" s="4"/>
      <c r="B926" s="4"/>
      <c r="C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ht="15.75" customHeight="1">
      <c r="A927" s="4"/>
      <c r="B927" s="4"/>
      <c r="C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ht="15.75" customHeight="1">
      <c r="A928" s="4"/>
      <c r="B928" s="4"/>
      <c r="C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ht="15.75" customHeight="1">
      <c r="A929" s="4"/>
      <c r="B929" s="4"/>
      <c r="C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ht="15.75" customHeight="1">
      <c r="A930" s="4"/>
      <c r="B930" s="4"/>
      <c r="C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ht="15.75" customHeight="1">
      <c r="A931" s="4"/>
      <c r="B931" s="4"/>
      <c r="C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ht="15.75" customHeight="1">
      <c r="A932" s="4"/>
      <c r="B932" s="4"/>
      <c r="C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ht="15.75" customHeight="1">
      <c r="A933" s="4"/>
      <c r="B933" s="4"/>
      <c r="C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ht="15.75" customHeight="1">
      <c r="A934" s="4"/>
      <c r="B934" s="4"/>
      <c r="C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ht="15.75" customHeight="1">
      <c r="A935" s="4"/>
      <c r="B935" s="4"/>
      <c r="C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ht="15.75" customHeight="1">
      <c r="A936" s="4"/>
      <c r="B936" s="4"/>
      <c r="C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ht="15.75" customHeight="1">
      <c r="A937" s="4"/>
      <c r="B937" s="4"/>
      <c r="C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ht="15.75" customHeight="1">
      <c r="A938" s="4"/>
      <c r="B938" s="4"/>
      <c r="C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ht="15.75" customHeight="1">
      <c r="A939" s="4"/>
      <c r="B939" s="4"/>
      <c r="C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ht="15.75" customHeight="1">
      <c r="A940" s="4"/>
      <c r="B940" s="4"/>
      <c r="C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ht="15.75" customHeight="1">
      <c r="A941" s="4"/>
      <c r="B941" s="4"/>
      <c r="C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ht="15.75" customHeight="1">
      <c r="A942" s="4"/>
      <c r="B942" s="4"/>
      <c r="C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ht="15.75" customHeight="1">
      <c r="A943" s="4"/>
      <c r="B943" s="4"/>
      <c r="C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ht="15.75" customHeight="1">
      <c r="A944" s="4"/>
      <c r="B944" s="4"/>
      <c r="C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ht="15.75" customHeight="1">
      <c r="A945" s="4"/>
      <c r="B945" s="4"/>
      <c r="C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ht="15.75" customHeight="1">
      <c r="A946" s="4"/>
      <c r="B946" s="4"/>
      <c r="C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ht="15.75" customHeight="1">
      <c r="A947" s="4"/>
      <c r="B947" s="4"/>
      <c r="C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ht="15.75" customHeight="1">
      <c r="A948" s="4"/>
      <c r="B948" s="4"/>
      <c r="C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ht="15.75" customHeight="1">
      <c r="A949" s="4"/>
      <c r="B949" s="4"/>
      <c r="C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ht="15.75" customHeight="1">
      <c r="A950" s="4"/>
      <c r="B950" s="4"/>
      <c r="C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ht="15.75" customHeight="1">
      <c r="A951" s="4"/>
      <c r="B951" s="4"/>
      <c r="C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ht="15.75" customHeight="1">
      <c r="A952" s="4"/>
      <c r="B952" s="4"/>
      <c r="C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ht="15.75" customHeight="1">
      <c r="A953" s="4"/>
      <c r="B953" s="4"/>
      <c r="C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ht="15.75" customHeight="1">
      <c r="A954" s="4"/>
      <c r="B954" s="4"/>
      <c r="C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ht="15.75" customHeight="1">
      <c r="A955" s="4"/>
      <c r="B955" s="4"/>
      <c r="C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ht="15.75" customHeight="1">
      <c r="A956" s="4"/>
      <c r="B956" s="4"/>
      <c r="C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ht="15.75" customHeight="1">
      <c r="A957" s="4"/>
      <c r="B957" s="4"/>
      <c r="C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ht="15.75" customHeight="1">
      <c r="A958" s="4"/>
      <c r="B958" s="4"/>
      <c r="C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ht="15.75" customHeight="1">
      <c r="A959" s="4"/>
      <c r="B959" s="4"/>
      <c r="C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ht="15.75" customHeight="1">
      <c r="A960" s="4"/>
      <c r="B960" s="4"/>
      <c r="C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ht="15.75" customHeight="1">
      <c r="A961" s="4"/>
      <c r="B961" s="4"/>
      <c r="C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ht="15.75" customHeight="1">
      <c r="A962" s="4"/>
      <c r="B962" s="4"/>
      <c r="C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ht="15.75" customHeight="1">
      <c r="A963" s="4"/>
      <c r="B963" s="4"/>
      <c r="C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ht="15.75" customHeight="1">
      <c r="A964" s="4"/>
      <c r="B964" s="4"/>
      <c r="C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ht="15.75" customHeight="1">
      <c r="A965" s="4"/>
      <c r="B965" s="4"/>
      <c r="C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ht="15.75" customHeight="1">
      <c r="A966" s="4"/>
      <c r="B966" s="4"/>
      <c r="C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ht="15.75" customHeight="1">
      <c r="A967" s="4"/>
      <c r="B967" s="4"/>
      <c r="C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ht="15.75" customHeight="1">
      <c r="A968" s="4"/>
      <c r="B968" s="4"/>
      <c r="C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ht="15.75" customHeight="1">
      <c r="A969" s="4"/>
      <c r="B969" s="4"/>
      <c r="C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ht="15.75" customHeight="1">
      <c r="A970" s="4"/>
      <c r="B970" s="4"/>
      <c r="C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ht="15.75" customHeight="1">
      <c r="A971" s="4"/>
      <c r="B971" s="4"/>
      <c r="C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ht="15.75" customHeight="1">
      <c r="A972" s="4"/>
      <c r="B972" s="4"/>
      <c r="C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ht="15.75" customHeight="1">
      <c r="A973" s="4"/>
      <c r="B973" s="4"/>
      <c r="C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ht="15.75" customHeight="1">
      <c r="A974" s="4"/>
      <c r="B974" s="4"/>
      <c r="C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ht="15.75" customHeight="1">
      <c r="A975" s="4"/>
      <c r="B975" s="4"/>
      <c r="C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 ht="15.75" customHeight="1">
      <c r="A976" s="4"/>
      <c r="B976" s="4"/>
      <c r="C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 ht="15.75" customHeight="1">
      <c r="A977" s="4"/>
      <c r="B977" s="4"/>
      <c r="C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 ht="15.75" customHeight="1">
      <c r="A978" s="4"/>
      <c r="B978" s="4"/>
      <c r="C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 ht="15.75" customHeight="1">
      <c r="A979" s="4"/>
      <c r="B979" s="4"/>
      <c r="C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 ht="15.75" customHeight="1">
      <c r="A980" s="4"/>
      <c r="B980" s="4"/>
      <c r="C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 ht="15.75" customHeight="1">
      <c r="A981" s="4"/>
      <c r="B981" s="4"/>
      <c r="C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 ht="15.75" customHeight="1">
      <c r="A982" s="4"/>
      <c r="B982" s="4"/>
      <c r="C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 ht="15.75" customHeight="1">
      <c r="A983" s="4"/>
      <c r="B983" s="4"/>
      <c r="C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 ht="15.75" customHeight="1">
      <c r="A984" s="4"/>
      <c r="B984" s="4"/>
      <c r="C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r="985" ht="15.75" customHeight="1">
      <c r="A985" s="4"/>
      <c r="B985" s="4"/>
      <c r="C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r="986" ht="15.75" customHeight="1">
      <c r="A986" s="4"/>
      <c r="B986" s="4"/>
      <c r="C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r="987" ht="15.75" customHeight="1">
      <c r="A987" s="4"/>
      <c r="B987" s="4"/>
      <c r="C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r="988" ht="15.75" customHeight="1">
      <c r="A988" s="4"/>
      <c r="B988" s="4"/>
      <c r="C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r="989" ht="15.75" customHeight="1">
      <c r="A989" s="4"/>
      <c r="B989" s="4"/>
      <c r="C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r="990" ht="15.75" customHeight="1">
      <c r="A990" s="4"/>
      <c r="B990" s="4"/>
      <c r="C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r="991" ht="15.75" customHeight="1">
      <c r="A991" s="4"/>
      <c r="B991" s="4"/>
      <c r="C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r="992" ht="15.75" customHeight="1">
      <c r="A992" s="4"/>
      <c r="B992" s="4"/>
      <c r="C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r="993" ht="15.75" customHeight="1">
      <c r="A993" s="4"/>
      <c r="B993" s="4"/>
      <c r="C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r="994" ht="15.75" customHeight="1">
      <c r="A994" s="4"/>
      <c r="B994" s="4"/>
      <c r="C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</row>
    <row r="995" ht="15.75" customHeight="1">
      <c r="A995" s="4"/>
      <c r="B995" s="4"/>
      <c r="C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</row>
    <row r="996" ht="15.75" customHeight="1">
      <c r="A996" s="4"/>
      <c r="B996" s="4"/>
      <c r="C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</row>
    <row r="997" ht="15.75" customHeight="1">
      <c r="A997" s="4"/>
      <c r="B997" s="4"/>
      <c r="C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r="998" ht="15.75" customHeight="1">
      <c r="A998" s="4"/>
      <c r="B998" s="4"/>
      <c r="C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r="999" ht="15.75" customHeight="1">
      <c r="A999" s="4"/>
      <c r="B999" s="4"/>
      <c r="C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r="1000" ht="15.75" customHeight="1">
      <c r="A1000" s="4"/>
      <c r="B1000" s="4"/>
      <c r="C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</sheetData>
  <mergeCells count="11">
    <mergeCell ref="J36:M36"/>
    <mergeCell ref="J43:M43"/>
    <mergeCell ref="A60:H60"/>
    <mergeCell ref="A73:H73"/>
    <mergeCell ref="A1:S1"/>
    <mergeCell ref="A3:F3"/>
    <mergeCell ref="A14:G14"/>
    <mergeCell ref="I14:O14"/>
    <mergeCell ref="A23:H23"/>
    <mergeCell ref="J24:L24"/>
    <mergeCell ref="J31:L3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6" width="12.0"/>
    <col customWidth="1" min="7" max="7" width="15.0"/>
    <col customWidth="1" min="8" max="9" width="10.0"/>
    <col customWidth="1" min="10" max="10" width="15.0"/>
    <col customWidth="1" min="11" max="13" width="12.0"/>
    <col customWidth="1" min="14" max="15" width="8.71"/>
    <col customWidth="1" min="16" max="16" width="18.0"/>
    <col customWidth="1" min="17" max="26" width="8.71"/>
  </cols>
  <sheetData>
    <row r="1" ht="17.25" customHeight="1">
      <c r="A1" s="33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5.0" customHeight="1">
      <c r="A2" s="34" t="s">
        <v>66</v>
      </c>
    </row>
    <row r="3" ht="27.75" customHeight="1">
      <c r="A3" s="35" t="s">
        <v>67</v>
      </c>
      <c r="B3" s="35" t="s">
        <v>68</v>
      </c>
      <c r="C3" s="35" t="s">
        <v>69</v>
      </c>
      <c r="D3" s="35" t="s">
        <v>31</v>
      </c>
      <c r="E3" s="35" t="s">
        <v>70</v>
      </c>
      <c r="F3" s="35" t="s">
        <v>32</v>
      </c>
      <c r="G3" s="35" t="s">
        <v>28</v>
      </c>
      <c r="H3" s="35" t="s">
        <v>71</v>
      </c>
      <c r="I3" s="35" t="s">
        <v>72</v>
      </c>
      <c r="J3" s="35" t="s">
        <v>29</v>
      </c>
      <c r="K3" s="35" t="s">
        <v>73</v>
      </c>
      <c r="L3" s="35" t="s">
        <v>74</v>
      </c>
      <c r="M3" s="35" t="s">
        <v>75</v>
      </c>
    </row>
    <row r="4" ht="15.0" customHeight="1">
      <c r="A4" s="36" t="s">
        <v>76</v>
      </c>
      <c r="B4" s="13" t="s">
        <v>77</v>
      </c>
      <c r="C4" s="14">
        <v>1.0</v>
      </c>
      <c r="D4" s="7">
        <f>SUMIF(Tasks!$B$4:$B$50,A4,Tasks!$M$4:$M$50)</f>
        <v>71</v>
      </c>
      <c r="E4" s="14">
        <f>SUMIF(Tasks!$B$4:$B$50,A4,Tasks!$N$4:$N$50)</f>
        <v>46</v>
      </c>
      <c r="F4" s="14">
        <f>SUMIFS(Tasks!$N$4:$N$50,Tasks!$B$4:$B$50,A4,Tasks!$D$4:$D$50,"Done")</f>
        <v>46</v>
      </c>
      <c r="G4" s="20">
        <f t="shared" ref="G4:G6" si="1">IF(D4&gt;0,F4/D4,0)</f>
        <v>0.6478873239</v>
      </c>
      <c r="H4" s="13">
        <f>COUNTIFS(Tasks!$B$4:$B$50,A4,Tasks!$D$4:$D$50,"Done")</f>
        <v>3</v>
      </c>
      <c r="I4" s="13">
        <f>COUNTIF(Tasks!$B$4:$B$50,A4)</f>
        <v>9</v>
      </c>
      <c r="J4" s="6" t="str">
        <f t="shared" ref="J4:J6" si="2">IF(I4=0,"No Tasks",IF(H4=I4,"Complete",IF(G4&gt;=0.7,"On Track","At Risk")))</f>
        <v>At Risk</v>
      </c>
      <c r="K4" s="37">
        <v>46023.0</v>
      </c>
      <c r="L4" s="38">
        <f t="shared" ref="L4:L6" si="3">K4+D4/8</f>
        <v>46031.875</v>
      </c>
      <c r="M4" s="38">
        <v>46096.0</v>
      </c>
    </row>
    <row r="5" ht="15.0" customHeight="1">
      <c r="A5" s="36" t="s">
        <v>78</v>
      </c>
      <c r="B5" s="13" t="s">
        <v>79</v>
      </c>
      <c r="C5" s="14">
        <v>1.0</v>
      </c>
      <c r="D5" s="7">
        <f>SUMIF(Tasks!$B$4:$B$50,A5,Tasks!$M$4:$M$50)</f>
        <v>0</v>
      </c>
      <c r="E5" s="14">
        <f>SUMIF(Tasks!$B$4:$B$50,A5,Tasks!$N$4:$N$50)</f>
        <v>0</v>
      </c>
      <c r="F5" s="14">
        <f>SUMIFS(Tasks!$N$4:$N$50,Tasks!$B$4:$B$50,A5,Tasks!$D$4:$D$50,"Done")</f>
        <v>0</v>
      </c>
      <c r="G5" s="20">
        <f t="shared" si="1"/>
        <v>0</v>
      </c>
      <c r="H5" s="13">
        <f>COUNTIFS(Tasks!$B$4:$B$50,A5,Tasks!$D$4:$D$50,"Done")</f>
        <v>0</v>
      </c>
      <c r="I5" s="13">
        <f>COUNTIF(Tasks!$B$4:$B$50,A5)</f>
        <v>0</v>
      </c>
      <c r="J5" s="6" t="str">
        <f t="shared" si="2"/>
        <v>No Tasks</v>
      </c>
      <c r="K5" s="37">
        <v>46023.0</v>
      </c>
      <c r="L5" s="38">
        <f t="shared" si="3"/>
        <v>46023</v>
      </c>
      <c r="M5" s="13"/>
    </row>
    <row r="6" ht="15.0" customHeight="1">
      <c r="A6" s="36" t="s">
        <v>80</v>
      </c>
      <c r="B6" s="39" t="s">
        <v>81</v>
      </c>
      <c r="C6" s="14">
        <v>1.0</v>
      </c>
      <c r="D6" s="7">
        <f>SUMIF(Tasks!$B$4:$B$50,A6,Tasks!$M$4:$M$50)</f>
        <v>8</v>
      </c>
      <c r="E6" s="14">
        <f>SUMIF(Tasks!$B$4:$B$50,A6,Tasks!$N$4:$N$50)</f>
        <v>8</v>
      </c>
      <c r="F6" s="14">
        <f>SUMIFS(Tasks!$N$4:$N$50,Tasks!$B$4:$B$50,A6,Tasks!$D$4:$D$50,"Done")</f>
        <v>8</v>
      </c>
      <c r="G6" s="20">
        <f t="shared" si="1"/>
        <v>1</v>
      </c>
      <c r="H6" s="13">
        <f>COUNTIFS(Tasks!$B$4:$B$50,A6,Tasks!$D$4:$D$50,"Done")</f>
        <v>1</v>
      </c>
      <c r="I6" s="13">
        <f>COUNTIF(Tasks!$B$4:$B$50,A6)</f>
        <v>1</v>
      </c>
      <c r="J6" s="6" t="str">
        <f t="shared" si="2"/>
        <v>Complete</v>
      </c>
      <c r="K6" s="37">
        <v>46034.0</v>
      </c>
      <c r="L6" s="38">
        <f t="shared" si="3"/>
        <v>46035</v>
      </c>
      <c r="M6" s="39" t="s">
        <v>82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P9" s="40" t="s">
        <v>83</v>
      </c>
      <c r="Q9" s="41">
        <f>Sum(D4:D5)</f>
        <v>71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P10" s="40" t="s">
        <v>84</v>
      </c>
      <c r="Q10" s="42">
        <f>AVERAGE(G4:G8)</f>
        <v>0.5492957746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</row>
  </sheetData>
  <mergeCells count="2">
    <mergeCell ref="A1:M1"/>
    <mergeCell ref="A2:M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0"/>
    <col customWidth="1" min="2" max="2" width="20.29"/>
    <col customWidth="1" min="3" max="3" width="29.0"/>
    <col customWidth="1" min="4" max="6" width="8.71"/>
  </cols>
  <sheetData>
    <row r="1" ht="17.25" customHeight="1">
      <c r="A1" s="33" t="s">
        <v>85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3" t="s">
        <v>86</v>
      </c>
      <c r="B3" s="2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21" t="s">
        <v>87</v>
      </c>
      <c r="B4" s="21" t="s">
        <v>88</v>
      </c>
      <c r="C4" s="21" t="s">
        <v>89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4" t="s">
        <v>90</v>
      </c>
      <c r="B5" s="43">
        <v>0.03</v>
      </c>
      <c r="C5" s="43">
        <v>0.06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4" t="s">
        <v>91</v>
      </c>
      <c r="B6" s="43">
        <v>0.02</v>
      </c>
      <c r="C6" s="43">
        <v>0.04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" t="s">
        <v>92</v>
      </c>
      <c r="B7" s="43">
        <v>0.01</v>
      </c>
      <c r="C7" s="43">
        <v>0.02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7" t="s">
        <v>93</v>
      </c>
      <c r="B8" s="44">
        <v>0.05</v>
      </c>
      <c r="C8" s="44">
        <v>0.1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3" t="s">
        <v>94</v>
      </c>
      <c r="B9" s="2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1" t="s">
        <v>87</v>
      </c>
      <c r="B10" s="21" t="s">
        <v>95</v>
      </c>
      <c r="C10" s="21" t="s">
        <v>96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" t="s">
        <v>90</v>
      </c>
      <c r="B11" s="45">
        <v>0.7</v>
      </c>
      <c r="C11" s="4" t="s">
        <v>97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" t="s">
        <v>91</v>
      </c>
      <c r="B12" s="45">
        <v>0.5</v>
      </c>
      <c r="C12" s="4" t="s">
        <v>98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 t="s">
        <v>92</v>
      </c>
      <c r="B13" s="45">
        <v>0.3</v>
      </c>
      <c r="C13" s="4" t="s">
        <v>99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27" t="s">
        <v>93</v>
      </c>
      <c r="B14" s="46">
        <v>0.9</v>
      </c>
      <c r="C14" s="27" t="s">
        <v>100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23" t="s">
        <v>101</v>
      </c>
      <c r="B15" s="2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 t="s">
        <v>102</v>
      </c>
      <c r="B16" s="47">
        <v>8.0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 t="s">
        <v>103</v>
      </c>
      <c r="B17" s="47">
        <v>5.0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4">
    <mergeCell ref="A1:C1"/>
    <mergeCell ref="A3:C3"/>
    <mergeCell ref="A9:C9"/>
    <mergeCell ref="A15:C1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3" width="15.0"/>
    <col customWidth="1" min="4" max="4" width="20.29"/>
    <col customWidth="1" min="5" max="5" width="18.0"/>
    <col customWidth="1" min="6" max="6" width="11.43"/>
    <col customWidth="1" min="7" max="7" width="20.0"/>
  </cols>
  <sheetData>
    <row r="1" ht="17.25" customHeight="1">
      <c r="A1" s="33" t="s">
        <v>104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8" t="s">
        <v>105</v>
      </c>
      <c r="B3" s="48" t="s">
        <v>20</v>
      </c>
      <c r="C3" s="48" t="s">
        <v>106</v>
      </c>
      <c r="D3" s="48" t="s">
        <v>88</v>
      </c>
      <c r="E3" s="48" t="s">
        <v>89</v>
      </c>
      <c r="F3" s="48" t="s">
        <v>107</v>
      </c>
      <c r="G3" s="48" t="s">
        <v>108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39" t="s">
        <v>48</v>
      </c>
      <c r="B4" s="39" t="s">
        <v>93</v>
      </c>
      <c r="C4" s="49">
        <v>85.0</v>
      </c>
      <c r="D4" s="50">
        <f>Assumptions!$B$8</f>
        <v>0.05</v>
      </c>
      <c r="E4" s="50">
        <f>Assumptions!$C$8</f>
        <v>0.1</v>
      </c>
      <c r="F4" s="50">
        <f>Assumptions!$B$14</f>
        <v>0.9</v>
      </c>
      <c r="G4" s="51">
        <v>40.0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3" t="s">
        <v>44</v>
      </c>
      <c r="B5" s="13" t="s">
        <v>109</v>
      </c>
      <c r="C5" s="9">
        <v>85.0</v>
      </c>
      <c r="D5" s="52">
        <f>Assumptions!$B$5</f>
        <v>0.03</v>
      </c>
      <c r="E5" s="52">
        <f>Assumptions!$C$5</f>
        <v>0.06</v>
      </c>
      <c r="F5" s="52">
        <f>Assumptions!$B$11</f>
        <v>0.7</v>
      </c>
      <c r="G5" s="36">
        <v>40.0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3" t="s">
        <v>45</v>
      </c>
      <c r="B6" s="13" t="s">
        <v>110</v>
      </c>
      <c r="C6" s="9">
        <v>65.0</v>
      </c>
      <c r="D6" s="52">
        <f>Assumptions!$B$6</f>
        <v>0.02</v>
      </c>
      <c r="E6" s="52">
        <f>Assumptions!$C$6</f>
        <v>0.04</v>
      </c>
      <c r="F6" s="52">
        <f>Assumptions!$B$12</f>
        <v>0.5</v>
      </c>
      <c r="G6" s="36">
        <v>40.0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3" t="s">
        <v>46</v>
      </c>
      <c r="B7" s="13" t="s">
        <v>111</v>
      </c>
      <c r="C7" s="9">
        <v>45.0</v>
      </c>
      <c r="D7" s="52">
        <f>Assumptions!$B$7</f>
        <v>0.01</v>
      </c>
      <c r="E7" s="52">
        <f>Assumptions!$C$7</f>
        <v>0.02</v>
      </c>
      <c r="F7" s="52">
        <f>Assumptions!$B$13</f>
        <v>0.3</v>
      </c>
      <c r="G7" s="36">
        <v>40.0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3" t="s">
        <v>47</v>
      </c>
      <c r="B8" s="13" t="s">
        <v>111</v>
      </c>
      <c r="C8" s="9">
        <v>45.0</v>
      </c>
      <c r="D8" s="52">
        <f>Assumptions!$B$7</f>
        <v>0.01</v>
      </c>
      <c r="E8" s="52">
        <f>Assumptions!$C$7</f>
        <v>0.02</v>
      </c>
      <c r="F8" s="52">
        <f>Assumptions!$B$13</f>
        <v>0.3</v>
      </c>
      <c r="G8" s="36">
        <v>40.0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53" t="s">
        <v>112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" t="s">
        <v>113</v>
      </c>
      <c r="B11" s="4">
        <f>COUNTA(A4:A8)</f>
        <v>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" t="s">
        <v>114</v>
      </c>
      <c r="B12" s="4">
        <f>SUM(G5:G8)</f>
        <v>160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 t="s">
        <v>115</v>
      </c>
      <c r="B13" s="54">
        <f>AVERAGE(C5:C8)</f>
        <v>60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  <row r="1001" ht="15.75" customHeight="1">
      <c r="A1001" s="4"/>
      <c r="B1001" s="4"/>
      <c r="C1001" s="4"/>
      <c r="D1001" s="4"/>
      <c r="E1001" s="4"/>
      <c r="F1001" s="4"/>
      <c r="G1001" s="4"/>
    </row>
  </sheetData>
  <mergeCells count="2">
    <mergeCell ref="A1:G1"/>
    <mergeCell ref="A10:G1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42.0"/>
    <col customWidth="1" min="4" max="6" width="13.29"/>
    <col customWidth="1" min="7" max="7" width="15.71"/>
    <col customWidth="1" min="8" max="24" width="13.29"/>
    <col customWidth="1" min="25" max="25" width="19.71"/>
    <col customWidth="1" min="26" max="26" width="13.29"/>
    <col customWidth="1" min="27" max="27" width="4.29"/>
    <col customWidth="1" min="28" max="28" width="44.57"/>
  </cols>
  <sheetData>
    <row r="1" ht="17.25" customHeight="1">
      <c r="A1" s="33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  <c r="Z1" s="4"/>
      <c r="AA1" s="4"/>
      <c r="AB1" s="4"/>
    </row>
    <row r="2" ht="15.0" customHeight="1">
      <c r="A2" s="34" t="s">
        <v>117</v>
      </c>
      <c r="W2" s="4"/>
      <c r="X2" s="4"/>
      <c r="Y2" s="4"/>
      <c r="Z2" s="4"/>
      <c r="AA2" s="4"/>
      <c r="AB2" s="4"/>
    </row>
    <row r="3" ht="41.25" customHeight="1">
      <c r="A3" s="35" t="s">
        <v>51</v>
      </c>
      <c r="B3" s="35" t="s">
        <v>67</v>
      </c>
      <c r="C3" s="35" t="s">
        <v>52</v>
      </c>
      <c r="D3" s="35" t="s">
        <v>29</v>
      </c>
      <c r="E3" s="35" t="s">
        <v>118</v>
      </c>
      <c r="F3" s="35" t="s">
        <v>119</v>
      </c>
      <c r="G3" s="35" t="s">
        <v>120</v>
      </c>
      <c r="H3" s="35" t="s">
        <v>121</v>
      </c>
      <c r="I3" s="35" t="s">
        <v>122</v>
      </c>
      <c r="J3" s="35" t="s">
        <v>123</v>
      </c>
      <c r="K3" s="35" t="s">
        <v>124</v>
      </c>
      <c r="L3" s="35" t="s">
        <v>125</v>
      </c>
      <c r="M3" s="35" t="s">
        <v>126</v>
      </c>
      <c r="N3" s="35" t="s">
        <v>127</v>
      </c>
      <c r="O3" s="35" t="s">
        <v>128</v>
      </c>
      <c r="P3" s="35" t="s">
        <v>129</v>
      </c>
      <c r="Q3" s="35" t="s">
        <v>130</v>
      </c>
      <c r="R3" s="35" t="s">
        <v>131</v>
      </c>
      <c r="S3" s="35" t="s">
        <v>74</v>
      </c>
      <c r="T3" s="35" t="s">
        <v>55</v>
      </c>
      <c r="U3" s="35" t="s">
        <v>132</v>
      </c>
      <c r="V3" s="35" t="s">
        <v>73</v>
      </c>
      <c r="W3" s="35" t="s">
        <v>133</v>
      </c>
      <c r="X3" s="4"/>
      <c r="Y3" s="53" t="s">
        <v>134</v>
      </c>
      <c r="Z3" s="2"/>
      <c r="AA3" s="2"/>
      <c r="AB3" s="3"/>
    </row>
    <row r="4" ht="15.0" customHeight="1">
      <c r="A4" s="13" t="s">
        <v>135</v>
      </c>
      <c r="B4" s="13" t="s">
        <v>76</v>
      </c>
      <c r="C4" s="13" t="s">
        <v>136</v>
      </c>
      <c r="D4" s="55" t="s">
        <v>36</v>
      </c>
      <c r="E4" s="56">
        <v>32.0</v>
      </c>
      <c r="F4" s="14">
        <f>E4/Assumptions!$B$16</f>
        <v>4</v>
      </c>
      <c r="G4" s="13" t="s">
        <v>46</v>
      </c>
      <c r="H4" s="57">
        <v>20.0</v>
      </c>
      <c r="I4" s="58">
        <v>16.0</v>
      </c>
      <c r="J4" s="39" t="s">
        <v>47</v>
      </c>
      <c r="K4" s="57">
        <v>20.0</v>
      </c>
      <c r="L4" s="58">
        <v>20.0</v>
      </c>
      <c r="M4" s="14">
        <f t="shared" ref="M4:N4" si="1">H4+K4</f>
        <v>40</v>
      </c>
      <c r="N4" s="14">
        <f t="shared" si="1"/>
        <v>36</v>
      </c>
      <c r="O4" s="16">
        <f t="shared" ref="O4:O11" si="2">M4/E4</f>
        <v>1.25</v>
      </c>
      <c r="P4" s="16">
        <f t="shared" ref="P4:P11" si="3">N4/E4</f>
        <v>1.125</v>
      </c>
      <c r="Q4" s="14">
        <f t="shared" ref="Q4:Q50" si="4">N4-M4</f>
        <v>-4</v>
      </c>
      <c r="R4" s="16">
        <f t="shared" ref="R4:R50" si="5">IF(N4&gt;0,M4/N4,0)</f>
        <v>1.111111111</v>
      </c>
      <c r="S4" s="59">
        <v>46033.0</v>
      </c>
      <c r="T4" s="59">
        <v>46037.0</v>
      </c>
      <c r="U4" s="60">
        <v>46035.0</v>
      </c>
      <c r="V4" s="13" t="s">
        <v>137</v>
      </c>
      <c r="W4" s="13" t="s">
        <v>138</v>
      </c>
      <c r="X4" s="4"/>
      <c r="Y4" s="4" t="s">
        <v>57</v>
      </c>
      <c r="Z4" s="61">
        <f>COUNTA(A4:A80)</f>
        <v>10</v>
      </c>
      <c r="AA4" s="4"/>
      <c r="AB4" s="62" t="s">
        <v>139</v>
      </c>
    </row>
    <row r="5" ht="15.0" customHeight="1">
      <c r="A5" s="13" t="s">
        <v>140</v>
      </c>
      <c r="B5" s="13" t="s">
        <v>76</v>
      </c>
      <c r="C5" s="63" t="s">
        <v>141</v>
      </c>
      <c r="D5" s="64" t="s">
        <v>36</v>
      </c>
      <c r="E5" s="56">
        <v>8.0</v>
      </c>
      <c r="F5" s="14">
        <f>E5/Assumptions!$B$16</f>
        <v>1</v>
      </c>
      <c r="G5" s="13" t="s">
        <v>45</v>
      </c>
      <c r="H5" s="56">
        <v>8.0</v>
      </c>
      <c r="I5" s="65">
        <v>2.0</v>
      </c>
      <c r="J5" s="13" t="s">
        <v>47</v>
      </c>
      <c r="K5" s="57">
        <v>4.0</v>
      </c>
      <c r="L5" s="58">
        <v>4.0</v>
      </c>
      <c r="M5" s="14">
        <f t="shared" ref="M5:M50" si="6">H5+K5</f>
        <v>12</v>
      </c>
      <c r="N5" s="14">
        <v>8.0</v>
      </c>
      <c r="O5" s="16">
        <f t="shared" si="2"/>
        <v>1.5</v>
      </c>
      <c r="P5" s="16">
        <f t="shared" si="3"/>
        <v>1</v>
      </c>
      <c r="Q5" s="14">
        <f t="shared" si="4"/>
        <v>-4</v>
      </c>
      <c r="R5" s="16">
        <f t="shared" si="5"/>
        <v>1.5</v>
      </c>
      <c r="S5" s="59">
        <v>46033.0</v>
      </c>
      <c r="T5" s="59">
        <v>46033.0</v>
      </c>
      <c r="U5" s="60">
        <v>46033.0</v>
      </c>
      <c r="V5" s="13" t="s">
        <v>137</v>
      </c>
      <c r="W5" s="13" t="s">
        <v>138</v>
      </c>
      <c r="X5" s="4"/>
      <c r="Y5" s="4" t="s">
        <v>142</v>
      </c>
      <c r="Z5" s="66">
        <f>SUM(E4:E80)</f>
        <v>240</v>
      </c>
      <c r="AA5" s="4"/>
      <c r="AB5" s="67" t="s">
        <v>143</v>
      </c>
    </row>
    <row r="6" ht="15.0" customHeight="1">
      <c r="A6" s="13" t="s">
        <v>144</v>
      </c>
      <c r="B6" s="13" t="s">
        <v>76</v>
      </c>
      <c r="C6" s="68" t="s">
        <v>145</v>
      </c>
      <c r="D6" s="69" t="s">
        <v>37</v>
      </c>
      <c r="E6" s="56">
        <v>2.0</v>
      </c>
      <c r="F6" s="14">
        <f>E6/Assumptions!$B$16</f>
        <v>0.25</v>
      </c>
      <c r="G6" s="39" t="s">
        <v>46</v>
      </c>
      <c r="H6" s="57">
        <v>3.0</v>
      </c>
      <c r="I6" s="65"/>
      <c r="J6" s="13"/>
      <c r="K6" s="57"/>
      <c r="L6" s="58"/>
      <c r="M6" s="14">
        <f t="shared" si="6"/>
        <v>3</v>
      </c>
      <c r="N6" s="14">
        <f t="shared" ref="N6:N50" si="7">I6+L6</f>
        <v>0</v>
      </c>
      <c r="O6" s="16">
        <f t="shared" si="2"/>
        <v>1.5</v>
      </c>
      <c r="P6" s="16">
        <f t="shared" si="3"/>
        <v>0</v>
      </c>
      <c r="Q6" s="14">
        <f t="shared" si="4"/>
        <v>-3</v>
      </c>
      <c r="R6" s="16">
        <f t="shared" si="5"/>
        <v>0</v>
      </c>
      <c r="S6" s="59">
        <v>46037.0</v>
      </c>
      <c r="T6" s="59">
        <v>46037.0</v>
      </c>
      <c r="U6" s="59"/>
      <c r="V6" s="13" t="s">
        <v>146</v>
      </c>
      <c r="W6" s="13" t="s">
        <v>138</v>
      </c>
      <c r="X6" s="4"/>
      <c r="Y6" s="4" t="s">
        <v>147</v>
      </c>
      <c r="Z6" s="66">
        <f>SUM(M4:M80)</f>
        <v>79</v>
      </c>
      <c r="AA6" s="4"/>
      <c r="AB6" s="67" t="s">
        <v>148</v>
      </c>
    </row>
    <row r="7" ht="15.0" customHeight="1">
      <c r="A7" s="13" t="s">
        <v>149</v>
      </c>
      <c r="B7" s="13" t="s">
        <v>76</v>
      </c>
      <c r="C7" s="70" t="s">
        <v>150</v>
      </c>
      <c r="D7" s="71" t="s">
        <v>38</v>
      </c>
      <c r="E7" s="56">
        <v>16.0</v>
      </c>
      <c r="F7" s="14">
        <f>E7/Assumptions!$B$16</f>
        <v>2</v>
      </c>
      <c r="G7" s="13"/>
      <c r="H7" s="56"/>
      <c r="I7" s="65"/>
      <c r="J7" s="13"/>
      <c r="K7" s="57"/>
      <c r="L7" s="58"/>
      <c r="M7" s="14">
        <f t="shared" si="6"/>
        <v>0</v>
      </c>
      <c r="N7" s="14">
        <f t="shared" si="7"/>
        <v>0</v>
      </c>
      <c r="O7" s="16">
        <f t="shared" si="2"/>
        <v>0</v>
      </c>
      <c r="P7" s="16">
        <f t="shared" si="3"/>
        <v>0</v>
      </c>
      <c r="Q7" s="14">
        <f t="shared" si="4"/>
        <v>0</v>
      </c>
      <c r="R7" s="16">
        <f t="shared" si="5"/>
        <v>0</v>
      </c>
      <c r="S7" s="59"/>
      <c r="T7" s="59"/>
      <c r="U7" s="59"/>
      <c r="V7" s="13" t="s">
        <v>146</v>
      </c>
      <c r="W7" s="13" t="s">
        <v>138</v>
      </c>
      <c r="X7" s="4"/>
      <c r="Y7" s="4" t="s">
        <v>151</v>
      </c>
      <c r="Z7" s="72">
        <f>AVERAGE(O4:O80)</f>
        <v>0.84375</v>
      </c>
      <c r="AA7" s="4"/>
      <c r="AB7" s="73" t="s">
        <v>152</v>
      </c>
    </row>
    <row r="8" ht="15.0" customHeight="1">
      <c r="A8" s="13" t="s">
        <v>153</v>
      </c>
      <c r="B8" s="13" t="s">
        <v>76</v>
      </c>
      <c r="C8" s="70" t="s">
        <v>154</v>
      </c>
      <c r="D8" s="69" t="s">
        <v>37</v>
      </c>
      <c r="E8" s="56">
        <v>8.0</v>
      </c>
      <c r="F8" s="14">
        <f>E8/Assumptions!$B$16</f>
        <v>1</v>
      </c>
      <c r="G8" s="39" t="s">
        <v>45</v>
      </c>
      <c r="H8" s="56">
        <v>8.0</v>
      </c>
      <c r="I8" s="74"/>
      <c r="J8" s="13"/>
      <c r="K8" s="57"/>
      <c r="L8" s="58"/>
      <c r="M8" s="14">
        <f t="shared" si="6"/>
        <v>8</v>
      </c>
      <c r="N8" s="14">
        <f t="shared" si="7"/>
        <v>0</v>
      </c>
      <c r="O8" s="16">
        <f t="shared" si="2"/>
        <v>1</v>
      </c>
      <c r="P8" s="16">
        <f t="shared" si="3"/>
        <v>0</v>
      </c>
      <c r="Q8" s="14">
        <f t="shared" si="4"/>
        <v>-8</v>
      </c>
      <c r="R8" s="16">
        <f t="shared" si="5"/>
        <v>0</v>
      </c>
      <c r="S8" s="59">
        <v>46037.0</v>
      </c>
      <c r="T8" s="59">
        <v>46037.0</v>
      </c>
      <c r="U8" s="59"/>
      <c r="V8" s="13" t="s">
        <v>146</v>
      </c>
      <c r="W8" s="13" t="s">
        <v>138</v>
      </c>
      <c r="X8" s="4"/>
      <c r="Y8" s="4" t="s">
        <v>155</v>
      </c>
      <c r="Z8" s="61">
        <f>COUNTIF(D4:D80,"Done")</f>
        <v>4</v>
      </c>
      <c r="AA8" s="4"/>
      <c r="AB8" s="67" t="s">
        <v>156</v>
      </c>
    </row>
    <row r="9" ht="15.0" customHeight="1">
      <c r="A9" s="13" t="s">
        <v>157</v>
      </c>
      <c r="B9" s="13" t="s">
        <v>76</v>
      </c>
      <c r="C9" s="70" t="s">
        <v>158</v>
      </c>
      <c r="D9" s="64" t="s">
        <v>36</v>
      </c>
      <c r="E9" s="56">
        <v>8.0</v>
      </c>
      <c r="F9" s="14">
        <f>E9/Assumptions!$B$16</f>
        <v>1</v>
      </c>
      <c r="G9" s="13" t="s">
        <v>45</v>
      </c>
      <c r="H9" s="56">
        <v>8.0</v>
      </c>
      <c r="I9" s="74">
        <v>2.0</v>
      </c>
      <c r="J9" s="13"/>
      <c r="K9" s="57"/>
      <c r="L9" s="58"/>
      <c r="M9" s="14">
        <f t="shared" si="6"/>
        <v>8</v>
      </c>
      <c r="N9" s="14">
        <f t="shared" si="7"/>
        <v>2</v>
      </c>
      <c r="O9" s="16">
        <f t="shared" si="2"/>
        <v>1</v>
      </c>
      <c r="P9" s="16">
        <f t="shared" si="3"/>
        <v>0.25</v>
      </c>
      <c r="Q9" s="14">
        <f t="shared" si="4"/>
        <v>-6</v>
      </c>
      <c r="R9" s="16">
        <f t="shared" si="5"/>
        <v>4</v>
      </c>
      <c r="S9" s="59">
        <v>46033.0</v>
      </c>
      <c r="T9" s="59">
        <v>46033.0</v>
      </c>
      <c r="U9" s="60">
        <v>46033.0</v>
      </c>
      <c r="V9" s="13" t="s">
        <v>137</v>
      </c>
      <c r="W9" s="13" t="s">
        <v>138</v>
      </c>
      <c r="X9" s="4"/>
      <c r="Y9" s="4" t="s">
        <v>159</v>
      </c>
      <c r="Z9" s="75">
        <f>COUNTIF(D4:D80,"Cancelled")</f>
        <v>0</v>
      </c>
      <c r="AA9" s="4"/>
      <c r="AB9" s="67" t="s">
        <v>160</v>
      </c>
    </row>
    <row r="10">
      <c r="A10" s="39" t="s">
        <v>161</v>
      </c>
      <c r="B10" s="39" t="s">
        <v>76</v>
      </c>
      <c r="C10" s="76" t="s">
        <v>162</v>
      </c>
      <c r="D10" s="51" t="s">
        <v>38</v>
      </c>
      <c r="E10" s="56">
        <v>42.0</v>
      </c>
      <c r="F10" s="14">
        <f>E10/Assumptions!$B$16</f>
        <v>5.25</v>
      </c>
      <c r="G10" s="39"/>
      <c r="H10" s="77"/>
      <c r="I10" s="74"/>
      <c r="J10" s="39"/>
      <c r="K10" s="57"/>
      <c r="L10" s="58"/>
      <c r="M10" s="14">
        <f t="shared" si="6"/>
        <v>0</v>
      </c>
      <c r="N10" s="14">
        <f t="shared" si="7"/>
        <v>0</v>
      </c>
      <c r="O10" s="16">
        <f t="shared" si="2"/>
        <v>0</v>
      </c>
      <c r="P10" s="16">
        <f t="shared" si="3"/>
        <v>0</v>
      </c>
      <c r="Q10" s="14">
        <f t="shared" si="4"/>
        <v>0</v>
      </c>
      <c r="R10" s="16">
        <f t="shared" si="5"/>
        <v>0</v>
      </c>
      <c r="S10" s="78">
        <v>46034.0</v>
      </c>
      <c r="T10" s="78">
        <v>46048.0</v>
      </c>
      <c r="U10" s="13"/>
      <c r="V10" s="39" t="s">
        <v>163</v>
      </c>
      <c r="W10" s="39" t="s">
        <v>138</v>
      </c>
      <c r="X10" s="4"/>
      <c r="Y10" s="4" t="s">
        <v>164</v>
      </c>
      <c r="Z10" s="61">
        <f>COUNTIF(D4:D82,"In Progress")</f>
        <v>2</v>
      </c>
      <c r="AA10" s="4"/>
      <c r="AB10" s="4"/>
    </row>
    <row r="11" ht="15.0" hidden="1" customHeight="1">
      <c r="A11" s="39" t="s">
        <v>165</v>
      </c>
      <c r="B11" s="39" t="s">
        <v>80</v>
      </c>
      <c r="C11" s="39" t="s">
        <v>166</v>
      </c>
      <c r="D11" s="64" t="s">
        <v>36</v>
      </c>
      <c r="E11" s="77">
        <v>16.0</v>
      </c>
      <c r="F11" s="14">
        <f>E11/Assumptions!$B$16</f>
        <v>2</v>
      </c>
      <c r="G11" s="39" t="s">
        <v>48</v>
      </c>
      <c r="H11" s="77">
        <v>8.0</v>
      </c>
      <c r="I11" s="58">
        <v>8.0</v>
      </c>
      <c r="J11" s="13"/>
      <c r="K11" s="57"/>
      <c r="L11" s="58"/>
      <c r="M11" s="14">
        <f t="shared" si="6"/>
        <v>8</v>
      </c>
      <c r="N11" s="14">
        <f t="shared" si="7"/>
        <v>8</v>
      </c>
      <c r="O11" s="16">
        <f t="shared" si="2"/>
        <v>0.5</v>
      </c>
      <c r="P11" s="16">
        <f t="shared" si="3"/>
        <v>0.5</v>
      </c>
      <c r="Q11" s="14">
        <f t="shared" si="4"/>
        <v>0</v>
      </c>
      <c r="R11" s="16">
        <f t="shared" si="5"/>
        <v>1</v>
      </c>
      <c r="S11" s="59">
        <v>46034.0</v>
      </c>
      <c r="T11" s="59">
        <v>46035.0</v>
      </c>
      <c r="U11" s="59">
        <v>46034.0</v>
      </c>
      <c r="V11" s="39" t="s">
        <v>163</v>
      </c>
      <c r="W11" s="39" t="s">
        <v>138</v>
      </c>
      <c r="X11" s="4"/>
      <c r="Y11" s="4"/>
      <c r="Z11" s="4"/>
      <c r="AA11" s="4"/>
      <c r="AB11" s="4"/>
    </row>
    <row r="12" ht="15.0" customHeight="1">
      <c r="A12" s="39" t="s">
        <v>167</v>
      </c>
      <c r="B12" s="39" t="s">
        <v>76</v>
      </c>
      <c r="C12" s="79" t="s">
        <v>168</v>
      </c>
      <c r="D12" s="69" t="s">
        <v>38</v>
      </c>
      <c r="E12" s="56">
        <v>80.0</v>
      </c>
      <c r="F12" s="14">
        <f>E12/Assumptions!$B$16</f>
        <v>10</v>
      </c>
      <c r="G12" s="13"/>
      <c r="H12" s="7"/>
      <c r="I12" s="65"/>
      <c r="J12" s="13"/>
      <c r="K12" s="57"/>
      <c r="L12" s="58"/>
      <c r="M12" s="14">
        <f t="shared" si="6"/>
        <v>0</v>
      </c>
      <c r="N12" s="14">
        <f t="shared" si="7"/>
        <v>0</v>
      </c>
      <c r="O12" s="16"/>
      <c r="P12" s="16"/>
      <c r="Q12" s="14">
        <f t="shared" si="4"/>
        <v>0</v>
      </c>
      <c r="R12" s="16">
        <f t="shared" si="5"/>
        <v>0</v>
      </c>
      <c r="S12" s="59"/>
      <c r="T12" s="38"/>
      <c r="U12" s="38"/>
      <c r="V12" s="39" t="s">
        <v>163</v>
      </c>
      <c r="W12" s="39" t="s">
        <v>138</v>
      </c>
      <c r="X12" s="4"/>
      <c r="Y12" s="4"/>
      <c r="Z12" s="4"/>
      <c r="AA12" s="4"/>
      <c r="AB12" s="4"/>
    </row>
    <row r="13" ht="15.0" customHeight="1">
      <c r="A13" s="39" t="s">
        <v>169</v>
      </c>
      <c r="B13" s="39" t="s">
        <v>76</v>
      </c>
      <c r="C13" s="79" t="s">
        <v>170</v>
      </c>
      <c r="D13" s="69" t="s">
        <v>38</v>
      </c>
      <c r="E13" s="56">
        <v>28.0</v>
      </c>
      <c r="F13" s="14">
        <f>E13/Assumptions!$B$16</f>
        <v>3.5</v>
      </c>
      <c r="G13" s="13"/>
      <c r="H13" s="13"/>
      <c r="I13" s="13"/>
      <c r="J13" s="13"/>
      <c r="K13" s="57"/>
      <c r="L13" s="58"/>
      <c r="M13" s="14">
        <f t="shared" si="6"/>
        <v>0</v>
      </c>
      <c r="N13" s="14">
        <f t="shared" si="7"/>
        <v>0</v>
      </c>
      <c r="O13" s="16"/>
      <c r="P13" s="16"/>
      <c r="Q13" s="14">
        <f t="shared" si="4"/>
        <v>0</v>
      </c>
      <c r="R13" s="16">
        <f t="shared" si="5"/>
        <v>0</v>
      </c>
      <c r="S13" s="59">
        <v>46044.0</v>
      </c>
      <c r="T13" s="78">
        <v>46050.0</v>
      </c>
      <c r="U13" s="13"/>
      <c r="V13" s="39" t="s">
        <v>146</v>
      </c>
      <c r="W13" s="39" t="s">
        <v>138</v>
      </c>
      <c r="X13" s="4"/>
      <c r="Y13" s="4"/>
      <c r="Z13" s="4"/>
      <c r="AA13" s="4"/>
      <c r="AB13" s="4"/>
    </row>
    <row r="14" ht="15.0" customHeight="1">
      <c r="A14" s="13"/>
      <c r="B14" s="13"/>
      <c r="C14" s="13"/>
      <c r="D14" s="13"/>
      <c r="E14" s="56"/>
      <c r="F14" s="14">
        <f>E14/Assumptions!$B$16</f>
        <v>0</v>
      </c>
      <c r="G14" s="13"/>
      <c r="H14" s="13"/>
      <c r="I14" s="13"/>
      <c r="J14" s="13"/>
      <c r="K14" s="57"/>
      <c r="L14" s="58"/>
      <c r="M14" s="14">
        <f t="shared" si="6"/>
        <v>0</v>
      </c>
      <c r="N14" s="14">
        <f t="shared" si="7"/>
        <v>0</v>
      </c>
      <c r="O14" s="16"/>
      <c r="P14" s="16"/>
      <c r="Q14" s="14">
        <f t="shared" si="4"/>
        <v>0</v>
      </c>
      <c r="R14" s="16">
        <f t="shared" si="5"/>
        <v>0</v>
      </c>
      <c r="S14" s="59"/>
      <c r="T14" s="13"/>
      <c r="U14" s="13"/>
      <c r="V14" s="13"/>
      <c r="W14" s="13"/>
      <c r="X14" s="4"/>
      <c r="Y14" s="4"/>
      <c r="Z14" s="4"/>
      <c r="AA14" s="4"/>
      <c r="AB14" s="4"/>
    </row>
    <row r="15" ht="15.0" customHeight="1">
      <c r="A15" s="13"/>
      <c r="B15" s="13"/>
      <c r="C15" s="13"/>
      <c r="D15" s="13"/>
      <c r="E15" s="56"/>
      <c r="F15" s="14">
        <f>E15/Assumptions!$B$16</f>
        <v>0</v>
      </c>
      <c r="G15" s="13"/>
      <c r="H15" s="13"/>
      <c r="I15" s="13"/>
      <c r="J15" s="13"/>
      <c r="K15" s="57"/>
      <c r="L15" s="58"/>
      <c r="M15" s="14">
        <f t="shared" si="6"/>
        <v>0</v>
      </c>
      <c r="N15" s="14">
        <f t="shared" si="7"/>
        <v>0</v>
      </c>
      <c r="O15" s="16"/>
      <c r="P15" s="16"/>
      <c r="Q15" s="14">
        <f t="shared" si="4"/>
        <v>0</v>
      </c>
      <c r="R15" s="16">
        <f t="shared" si="5"/>
        <v>0</v>
      </c>
      <c r="S15" s="59"/>
      <c r="T15" s="13"/>
      <c r="U15" s="13"/>
      <c r="V15" s="13"/>
      <c r="W15" s="13"/>
      <c r="X15" s="4"/>
      <c r="Y15" s="4"/>
      <c r="Z15" s="4"/>
      <c r="AA15" s="4"/>
      <c r="AB15" s="4"/>
    </row>
    <row r="16" ht="15.0" customHeight="1">
      <c r="A16" s="13"/>
      <c r="B16" s="13"/>
      <c r="C16" s="13"/>
      <c r="D16" s="13"/>
      <c r="E16" s="56"/>
      <c r="F16" s="14">
        <f>E16/Assumptions!$B$16</f>
        <v>0</v>
      </c>
      <c r="G16" s="13"/>
      <c r="H16" s="13"/>
      <c r="I16" s="13"/>
      <c r="J16" s="13"/>
      <c r="K16" s="57"/>
      <c r="L16" s="58"/>
      <c r="M16" s="14">
        <f t="shared" si="6"/>
        <v>0</v>
      </c>
      <c r="N16" s="14">
        <f t="shared" si="7"/>
        <v>0</v>
      </c>
      <c r="O16" s="16"/>
      <c r="P16" s="16"/>
      <c r="Q16" s="14">
        <f t="shared" si="4"/>
        <v>0</v>
      </c>
      <c r="R16" s="16">
        <f t="shared" si="5"/>
        <v>0</v>
      </c>
      <c r="S16" s="59"/>
      <c r="T16" s="13"/>
      <c r="U16" s="13"/>
      <c r="V16" s="13"/>
      <c r="W16" s="13"/>
      <c r="X16" s="4"/>
      <c r="Y16" s="4"/>
      <c r="Z16" s="4"/>
      <c r="AA16" s="4"/>
      <c r="AB16" s="4"/>
    </row>
    <row r="17" ht="15.0" customHeight="1">
      <c r="A17" s="13"/>
      <c r="B17" s="13"/>
      <c r="C17" s="13"/>
      <c r="D17" s="13"/>
      <c r="E17" s="56"/>
      <c r="F17" s="14">
        <f>E17/Assumptions!$B$16</f>
        <v>0</v>
      </c>
      <c r="G17" s="13"/>
      <c r="H17" s="13"/>
      <c r="I17" s="13"/>
      <c r="J17" s="13"/>
      <c r="K17" s="57"/>
      <c r="L17" s="58"/>
      <c r="M17" s="14">
        <f t="shared" si="6"/>
        <v>0</v>
      </c>
      <c r="N17" s="14">
        <f t="shared" si="7"/>
        <v>0</v>
      </c>
      <c r="O17" s="16"/>
      <c r="P17" s="16"/>
      <c r="Q17" s="14">
        <f t="shared" si="4"/>
        <v>0</v>
      </c>
      <c r="R17" s="16">
        <f t="shared" si="5"/>
        <v>0</v>
      </c>
      <c r="S17" s="59"/>
      <c r="T17" s="13"/>
      <c r="U17" s="13"/>
      <c r="V17" s="13"/>
      <c r="W17" s="13"/>
      <c r="X17" s="4"/>
      <c r="Y17" s="4"/>
      <c r="Z17" s="4"/>
      <c r="AA17" s="4"/>
      <c r="AB17" s="4"/>
    </row>
    <row r="18" ht="15.0" customHeight="1">
      <c r="A18" s="13"/>
      <c r="B18" s="13"/>
      <c r="C18" s="13"/>
      <c r="D18" s="13"/>
      <c r="E18" s="56"/>
      <c r="F18" s="14">
        <f>E18/Assumptions!$B$16</f>
        <v>0</v>
      </c>
      <c r="G18" s="13"/>
      <c r="H18" s="13"/>
      <c r="I18" s="13"/>
      <c r="J18" s="13"/>
      <c r="K18" s="57"/>
      <c r="L18" s="58"/>
      <c r="M18" s="14">
        <f t="shared" si="6"/>
        <v>0</v>
      </c>
      <c r="N18" s="14">
        <f t="shared" si="7"/>
        <v>0</v>
      </c>
      <c r="O18" s="16"/>
      <c r="P18" s="16"/>
      <c r="Q18" s="14">
        <f t="shared" si="4"/>
        <v>0</v>
      </c>
      <c r="R18" s="16">
        <f t="shared" si="5"/>
        <v>0</v>
      </c>
      <c r="S18" s="13"/>
      <c r="T18" s="13"/>
      <c r="U18" s="13"/>
      <c r="V18" s="13"/>
      <c r="W18" s="13"/>
      <c r="X18" s="4"/>
      <c r="Y18" s="4"/>
      <c r="Z18" s="4"/>
      <c r="AA18" s="4"/>
      <c r="AB18" s="4"/>
    </row>
    <row r="19" ht="15.0" customHeight="1">
      <c r="A19" s="13"/>
      <c r="B19" s="13"/>
      <c r="C19" s="13"/>
      <c r="D19" s="13"/>
      <c r="E19" s="56"/>
      <c r="F19" s="14">
        <f>E19/Assumptions!$B$16</f>
        <v>0</v>
      </c>
      <c r="G19" s="13"/>
      <c r="H19" s="13"/>
      <c r="I19" s="13"/>
      <c r="J19" s="13"/>
      <c r="K19" s="57"/>
      <c r="L19" s="58"/>
      <c r="M19" s="14">
        <f t="shared" si="6"/>
        <v>0</v>
      </c>
      <c r="N19" s="14">
        <f t="shared" si="7"/>
        <v>0</v>
      </c>
      <c r="O19" s="16"/>
      <c r="P19" s="16"/>
      <c r="Q19" s="14">
        <f t="shared" si="4"/>
        <v>0</v>
      </c>
      <c r="R19" s="16">
        <f t="shared" si="5"/>
        <v>0</v>
      </c>
      <c r="S19" s="13"/>
      <c r="T19" s="13"/>
      <c r="U19" s="13"/>
      <c r="V19" s="13"/>
      <c r="W19" s="13"/>
      <c r="X19" s="4"/>
      <c r="Y19" s="4"/>
      <c r="Z19" s="4"/>
      <c r="AA19" s="4"/>
      <c r="AB19" s="4"/>
    </row>
    <row r="20" ht="15.0" customHeight="1">
      <c r="A20" s="13"/>
      <c r="B20" s="13"/>
      <c r="C20" s="13"/>
      <c r="D20" s="13"/>
      <c r="E20" s="56"/>
      <c r="F20" s="14">
        <f>E20/Assumptions!$B$16</f>
        <v>0</v>
      </c>
      <c r="G20" s="13"/>
      <c r="H20" s="13"/>
      <c r="I20" s="13"/>
      <c r="J20" s="13"/>
      <c r="K20" s="57"/>
      <c r="L20" s="58"/>
      <c r="M20" s="14">
        <f t="shared" si="6"/>
        <v>0</v>
      </c>
      <c r="N20" s="14">
        <f t="shared" si="7"/>
        <v>0</v>
      </c>
      <c r="O20" s="16"/>
      <c r="P20" s="16"/>
      <c r="Q20" s="14">
        <f t="shared" si="4"/>
        <v>0</v>
      </c>
      <c r="R20" s="16">
        <f t="shared" si="5"/>
        <v>0</v>
      </c>
      <c r="S20" s="13"/>
      <c r="T20" s="13"/>
      <c r="U20" s="13"/>
      <c r="V20" s="13"/>
      <c r="W20" s="13"/>
      <c r="X20" s="4"/>
      <c r="Y20" s="4"/>
      <c r="Z20" s="4"/>
      <c r="AA20" s="4"/>
      <c r="AB20" s="4"/>
    </row>
    <row r="21" ht="15.75" customHeight="1">
      <c r="A21" s="13"/>
      <c r="B21" s="13"/>
      <c r="C21" s="13"/>
      <c r="D21" s="13"/>
      <c r="E21" s="56"/>
      <c r="F21" s="14">
        <f>E21/Assumptions!$B$16</f>
        <v>0</v>
      </c>
      <c r="G21" s="13"/>
      <c r="H21" s="13"/>
      <c r="I21" s="13"/>
      <c r="J21" s="13"/>
      <c r="K21" s="57"/>
      <c r="L21" s="58"/>
      <c r="M21" s="14">
        <f t="shared" si="6"/>
        <v>0</v>
      </c>
      <c r="N21" s="14">
        <f t="shared" si="7"/>
        <v>0</v>
      </c>
      <c r="O21" s="16"/>
      <c r="P21" s="16"/>
      <c r="Q21" s="14">
        <f t="shared" si="4"/>
        <v>0</v>
      </c>
      <c r="R21" s="16">
        <f t="shared" si="5"/>
        <v>0</v>
      </c>
      <c r="S21" s="13"/>
      <c r="T21" s="13"/>
      <c r="U21" s="13"/>
      <c r="V21" s="13"/>
      <c r="W21" s="13"/>
      <c r="X21" s="4"/>
      <c r="Y21" s="4"/>
      <c r="Z21" s="4"/>
      <c r="AA21" s="4"/>
      <c r="AB21" s="4"/>
    </row>
    <row r="22" ht="15.75" customHeight="1">
      <c r="A22" s="13"/>
      <c r="B22" s="13"/>
      <c r="C22" s="13"/>
      <c r="D22" s="13"/>
      <c r="E22" s="56"/>
      <c r="F22" s="14">
        <f>E22/Assumptions!$B$16</f>
        <v>0</v>
      </c>
      <c r="G22" s="13"/>
      <c r="H22" s="13"/>
      <c r="I22" s="13"/>
      <c r="J22" s="13"/>
      <c r="K22" s="57"/>
      <c r="L22" s="58"/>
      <c r="M22" s="14">
        <f t="shared" si="6"/>
        <v>0</v>
      </c>
      <c r="N22" s="14">
        <f t="shared" si="7"/>
        <v>0</v>
      </c>
      <c r="O22" s="16"/>
      <c r="P22" s="16"/>
      <c r="Q22" s="14">
        <f t="shared" si="4"/>
        <v>0</v>
      </c>
      <c r="R22" s="16">
        <f t="shared" si="5"/>
        <v>0</v>
      </c>
      <c r="S22" s="13"/>
      <c r="T22" s="13"/>
      <c r="U22" s="13"/>
      <c r="V22" s="13"/>
      <c r="W22" s="13"/>
      <c r="X22" s="4"/>
      <c r="Y22" s="4"/>
      <c r="Z22" s="4"/>
      <c r="AA22" s="4"/>
      <c r="AB22" s="4"/>
    </row>
    <row r="23" ht="15.75" customHeight="1">
      <c r="A23" s="13"/>
      <c r="B23" s="13"/>
      <c r="C23" s="13"/>
      <c r="D23" s="13"/>
      <c r="E23" s="56"/>
      <c r="F23" s="14">
        <f>E23/Assumptions!$B$16</f>
        <v>0</v>
      </c>
      <c r="G23" s="13"/>
      <c r="H23" s="13"/>
      <c r="I23" s="13"/>
      <c r="J23" s="13"/>
      <c r="K23" s="57"/>
      <c r="L23" s="58"/>
      <c r="M23" s="14">
        <f t="shared" si="6"/>
        <v>0</v>
      </c>
      <c r="N23" s="14">
        <f t="shared" si="7"/>
        <v>0</v>
      </c>
      <c r="O23" s="16"/>
      <c r="P23" s="16"/>
      <c r="Q23" s="14">
        <f t="shared" si="4"/>
        <v>0</v>
      </c>
      <c r="R23" s="16">
        <f t="shared" si="5"/>
        <v>0</v>
      </c>
      <c r="S23" s="13"/>
      <c r="T23" s="13"/>
      <c r="U23" s="13"/>
      <c r="V23" s="13"/>
      <c r="W23" s="13"/>
      <c r="X23" s="4"/>
      <c r="Y23" s="4"/>
      <c r="Z23" s="4"/>
      <c r="AA23" s="4"/>
      <c r="AB23" s="4"/>
    </row>
    <row r="24" ht="15.75" customHeight="1">
      <c r="A24" s="13"/>
      <c r="B24" s="13"/>
      <c r="C24" s="13"/>
      <c r="D24" s="13"/>
      <c r="E24" s="56"/>
      <c r="F24" s="14">
        <f>E24/Assumptions!$B$16</f>
        <v>0</v>
      </c>
      <c r="G24" s="13"/>
      <c r="H24" s="13"/>
      <c r="I24" s="13"/>
      <c r="J24" s="13"/>
      <c r="K24" s="57"/>
      <c r="L24" s="58"/>
      <c r="M24" s="14">
        <f t="shared" si="6"/>
        <v>0</v>
      </c>
      <c r="N24" s="14">
        <f t="shared" si="7"/>
        <v>0</v>
      </c>
      <c r="O24" s="16"/>
      <c r="P24" s="16"/>
      <c r="Q24" s="14">
        <f t="shared" si="4"/>
        <v>0</v>
      </c>
      <c r="R24" s="16">
        <f t="shared" si="5"/>
        <v>0</v>
      </c>
      <c r="S24" s="13"/>
      <c r="T24" s="13"/>
      <c r="U24" s="13"/>
      <c r="V24" s="13"/>
      <c r="W24" s="13"/>
      <c r="X24" s="4"/>
      <c r="Y24" s="4"/>
      <c r="Z24" s="4"/>
      <c r="AA24" s="4"/>
      <c r="AB24" s="4"/>
    </row>
    <row r="25" ht="15.75" customHeight="1">
      <c r="A25" s="13"/>
      <c r="B25" s="13"/>
      <c r="C25" s="13"/>
      <c r="D25" s="13"/>
      <c r="E25" s="56"/>
      <c r="F25" s="14">
        <f>E25/Assumptions!$B$16</f>
        <v>0</v>
      </c>
      <c r="G25" s="13"/>
      <c r="H25" s="13"/>
      <c r="I25" s="13"/>
      <c r="J25" s="13"/>
      <c r="K25" s="57"/>
      <c r="L25" s="58"/>
      <c r="M25" s="14">
        <f t="shared" si="6"/>
        <v>0</v>
      </c>
      <c r="N25" s="14">
        <f t="shared" si="7"/>
        <v>0</v>
      </c>
      <c r="O25" s="16"/>
      <c r="P25" s="16"/>
      <c r="Q25" s="14">
        <f t="shared" si="4"/>
        <v>0</v>
      </c>
      <c r="R25" s="16">
        <f t="shared" si="5"/>
        <v>0</v>
      </c>
      <c r="S25" s="13"/>
      <c r="T25" s="13"/>
      <c r="U25" s="13"/>
      <c r="V25" s="13"/>
      <c r="W25" s="13"/>
      <c r="X25" s="4"/>
      <c r="Y25" s="4"/>
      <c r="Z25" s="4"/>
      <c r="AA25" s="4"/>
      <c r="AB25" s="4"/>
    </row>
    <row r="26" ht="15.75" customHeight="1">
      <c r="A26" s="13"/>
      <c r="B26" s="13"/>
      <c r="C26" s="13"/>
      <c r="D26" s="13"/>
      <c r="E26" s="56"/>
      <c r="F26" s="14">
        <f>E26/Assumptions!$B$16</f>
        <v>0</v>
      </c>
      <c r="G26" s="13"/>
      <c r="H26" s="13"/>
      <c r="I26" s="13"/>
      <c r="J26" s="13"/>
      <c r="K26" s="57"/>
      <c r="L26" s="58"/>
      <c r="M26" s="14">
        <f t="shared" si="6"/>
        <v>0</v>
      </c>
      <c r="N26" s="14">
        <f t="shared" si="7"/>
        <v>0</v>
      </c>
      <c r="O26" s="16"/>
      <c r="P26" s="16"/>
      <c r="Q26" s="14">
        <f t="shared" si="4"/>
        <v>0</v>
      </c>
      <c r="R26" s="16">
        <f t="shared" si="5"/>
        <v>0</v>
      </c>
      <c r="S26" s="13"/>
      <c r="T26" s="13"/>
      <c r="U26" s="13"/>
      <c r="V26" s="13"/>
      <c r="W26" s="13"/>
      <c r="X26" s="4"/>
      <c r="Y26" s="4"/>
      <c r="Z26" s="4"/>
      <c r="AA26" s="4"/>
      <c r="AB26" s="4"/>
    </row>
    <row r="27" ht="15.75" customHeight="1">
      <c r="A27" s="13"/>
      <c r="B27" s="13"/>
      <c r="C27" s="13"/>
      <c r="D27" s="13"/>
      <c r="E27" s="13"/>
      <c r="F27" s="14">
        <f>E27/Assumptions!$B$16</f>
        <v>0</v>
      </c>
      <c r="G27" s="13"/>
      <c r="H27" s="13"/>
      <c r="I27" s="13"/>
      <c r="J27" s="13"/>
      <c r="K27" s="57"/>
      <c r="L27" s="58"/>
      <c r="M27" s="14">
        <f t="shared" si="6"/>
        <v>0</v>
      </c>
      <c r="N27" s="14">
        <f t="shared" si="7"/>
        <v>0</v>
      </c>
      <c r="O27" s="16"/>
      <c r="P27" s="16"/>
      <c r="Q27" s="14">
        <f t="shared" si="4"/>
        <v>0</v>
      </c>
      <c r="R27" s="16">
        <f t="shared" si="5"/>
        <v>0</v>
      </c>
      <c r="S27" s="13"/>
      <c r="T27" s="13"/>
      <c r="U27" s="13"/>
      <c r="V27" s="13"/>
      <c r="W27" s="13"/>
      <c r="X27" s="4"/>
      <c r="Y27" s="4"/>
      <c r="Z27" s="4"/>
      <c r="AA27" s="4"/>
      <c r="AB27" s="4"/>
    </row>
    <row r="28" ht="15.75" customHeight="1">
      <c r="A28" s="13"/>
      <c r="B28" s="13"/>
      <c r="C28" s="13"/>
      <c r="D28" s="13"/>
      <c r="E28" s="13"/>
      <c r="F28" s="14">
        <f>E28/Assumptions!$B$16</f>
        <v>0</v>
      </c>
      <c r="G28" s="13"/>
      <c r="H28" s="13"/>
      <c r="I28" s="13"/>
      <c r="J28" s="13"/>
      <c r="K28" s="57"/>
      <c r="L28" s="58"/>
      <c r="M28" s="14">
        <f t="shared" si="6"/>
        <v>0</v>
      </c>
      <c r="N28" s="14">
        <f t="shared" si="7"/>
        <v>0</v>
      </c>
      <c r="O28" s="16"/>
      <c r="P28" s="16"/>
      <c r="Q28" s="14">
        <f t="shared" si="4"/>
        <v>0</v>
      </c>
      <c r="R28" s="16">
        <f t="shared" si="5"/>
        <v>0</v>
      </c>
      <c r="S28" s="13"/>
      <c r="T28" s="13"/>
      <c r="U28" s="13"/>
      <c r="V28" s="13"/>
      <c r="W28" s="13"/>
      <c r="X28" s="4"/>
      <c r="Y28" s="4"/>
      <c r="Z28" s="4"/>
      <c r="AA28" s="4"/>
      <c r="AB28" s="4"/>
    </row>
    <row r="29" ht="15.75" customHeight="1">
      <c r="A29" s="13"/>
      <c r="B29" s="13"/>
      <c r="C29" s="13"/>
      <c r="D29" s="13"/>
      <c r="E29" s="13"/>
      <c r="F29" s="14">
        <f>E29/Assumptions!$B$16</f>
        <v>0</v>
      </c>
      <c r="G29" s="13"/>
      <c r="H29" s="13"/>
      <c r="I29" s="13"/>
      <c r="J29" s="13"/>
      <c r="K29" s="57"/>
      <c r="L29" s="58"/>
      <c r="M29" s="14">
        <f t="shared" si="6"/>
        <v>0</v>
      </c>
      <c r="N29" s="14">
        <f t="shared" si="7"/>
        <v>0</v>
      </c>
      <c r="O29" s="16"/>
      <c r="P29" s="16"/>
      <c r="Q29" s="14">
        <f t="shared" si="4"/>
        <v>0</v>
      </c>
      <c r="R29" s="16">
        <f t="shared" si="5"/>
        <v>0</v>
      </c>
      <c r="S29" s="13"/>
      <c r="T29" s="13"/>
      <c r="U29" s="13"/>
      <c r="V29" s="13"/>
      <c r="W29" s="13"/>
      <c r="X29" s="4"/>
      <c r="Y29" s="4"/>
      <c r="Z29" s="4"/>
      <c r="AA29" s="4"/>
      <c r="AB29" s="4"/>
    </row>
    <row r="30" ht="15.75" customHeight="1">
      <c r="A30" s="13"/>
      <c r="B30" s="13"/>
      <c r="C30" s="13"/>
      <c r="D30" s="13"/>
      <c r="E30" s="13"/>
      <c r="F30" s="14">
        <f>E30/Assumptions!$B$16</f>
        <v>0</v>
      </c>
      <c r="G30" s="13"/>
      <c r="H30" s="13"/>
      <c r="I30" s="13"/>
      <c r="J30" s="13"/>
      <c r="K30" s="57"/>
      <c r="L30" s="58"/>
      <c r="M30" s="14">
        <f t="shared" si="6"/>
        <v>0</v>
      </c>
      <c r="N30" s="14">
        <f t="shared" si="7"/>
        <v>0</v>
      </c>
      <c r="O30" s="16"/>
      <c r="P30" s="16"/>
      <c r="Q30" s="14">
        <f t="shared" si="4"/>
        <v>0</v>
      </c>
      <c r="R30" s="16">
        <f t="shared" si="5"/>
        <v>0</v>
      </c>
      <c r="S30" s="13"/>
      <c r="T30" s="13"/>
      <c r="U30" s="13"/>
      <c r="V30" s="13"/>
      <c r="W30" s="13"/>
      <c r="X30" s="4"/>
      <c r="Y30" s="4"/>
      <c r="Z30" s="4"/>
      <c r="AA30" s="4"/>
      <c r="AB30" s="4"/>
    </row>
    <row r="31" ht="15.75" customHeight="1">
      <c r="A31" s="13"/>
      <c r="B31" s="13"/>
      <c r="C31" s="13"/>
      <c r="D31" s="13"/>
      <c r="E31" s="13"/>
      <c r="F31" s="14">
        <f>E31/Assumptions!$B$16</f>
        <v>0</v>
      </c>
      <c r="G31" s="13"/>
      <c r="H31" s="13"/>
      <c r="I31" s="13"/>
      <c r="J31" s="13"/>
      <c r="K31" s="57"/>
      <c r="L31" s="58"/>
      <c r="M31" s="14">
        <f t="shared" si="6"/>
        <v>0</v>
      </c>
      <c r="N31" s="14">
        <f t="shared" si="7"/>
        <v>0</v>
      </c>
      <c r="O31" s="16"/>
      <c r="P31" s="16"/>
      <c r="Q31" s="14">
        <f t="shared" si="4"/>
        <v>0</v>
      </c>
      <c r="R31" s="16">
        <f t="shared" si="5"/>
        <v>0</v>
      </c>
      <c r="S31" s="13"/>
      <c r="T31" s="13"/>
      <c r="U31" s="13"/>
      <c r="V31" s="13"/>
      <c r="W31" s="13"/>
      <c r="X31" s="4"/>
      <c r="Y31" s="4"/>
      <c r="Z31" s="4"/>
      <c r="AA31" s="4"/>
      <c r="AB31" s="4"/>
    </row>
    <row r="32" ht="15.75" customHeight="1">
      <c r="A32" s="13"/>
      <c r="B32" s="13"/>
      <c r="C32" s="13"/>
      <c r="D32" s="13"/>
      <c r="E32" s="13"/>
      <c r="F32" s="14">
        <f>E32/Assumptions!$B$16</f>
        <v>0</v>
      </c>
      <c r="G32" s="13"/>
      <c r="H32" s="13"/>
      <c r="I32" s="13"/>
      <c r="J32" s="13"/>
      <c r="K32" s="57"/>
      <c r="L32" s="58"/>
      <c r="M32" s="14">
        <f t="shared" si="6"/>
        <v>0</v>
      </c>
      <c r="N32" s="14">
        <f t="shared" si="7"/>
        <v>0</v>
      </c>
      <c r="O32" s="16"/>
      <c r="P32" s="16"/>
      <c r="Q32" s="14">
        <f t="shared" si="4"/>
        <v>0</v>
      </c>
      <c r="R32" s="16">
        <f t="shared" si="5"/>
        <v>0</v>
      </c>
      <c r="S32" s="13"/>
      <c r="T32" s="13"/>
      <c r="U32" s="13"/>
      <c r="V32" s="13"/>
      <c r="W32" s="13"/>
      <c r="X32" s="4"/>
      <c r="Y32" s="4"/>
      <c r="Z32" s="4"/>
      <c r="AA32" s="4"/>
      <c r="AB32" s="4"/>
    </row>
    <row r="33" ht="15.75" customHeight="1">
      <c r="A33" s="13"/>
      <c r="B33" s="13"/>
      <c r="C33" s="13"/>
      <c r="D33" s="13"/>
      <c r="E33" s="13"/>
      <c r="F33" s="14">
        <f>E33/Assumptions!$B$16</f>
        <v>0</v>
      </c>
      <c r="G33" s="13"/>
      <c r="H33" s="13"/>
      <c r="I33" s="13"/>
      <c r="J33" s="13"/>
      <c r="K33" s="57"/>
      <c r="L33" s="58"/>
      <c r="M33" s="14">
        <f t="shared" si="6"/>
        <v>0</v>
      </c>
      <c r="N33" s="14">
        <f t="shared" si="7"/>
        <v>0</v>
      </c>
      <c r="O33" s="16"/>
      <c r="P33" s="16"/>
      <c r="Q33" s="14">
        <f t="shared" si="4"/>
        <v>0</v>
      </c>
      <c r="R33" s="16">
        <f t="shared" si="5"/>
        <v>0</v>
      </c>
      <c r="S33" s="13"/>
      <c r="T33" s="13"/>
      <c r="U33" s="13"/>
      <c r="V33" s="13"/>
      <c r="W33" s="13"/>
      <c r="X33" s="4"/>
      <c r="Y33" s="4"/>
      <c r="Z33" s="4"/>
      <c r="AA33" s="4"/>
      <c r="AB33" s="4"/>
    </row>
    <row r="34" ht="15.75" customHeight="1">
      <c r="A34" s="13"/>
      <c r="B34" s="13"/>
      <c r="C34" s="13"/>
      <c r="D34" s="13"/>
      <c r="E34" s="13"/>
      <c r="F34" s="14">
        <f>E34/Assumptions!$B$16</f>
        <v>0</v>
      </c>
      <c r="G34" s="13"/>
      <c r="H34" s="13"/>
      <c r="I34" s="13"/>
      <c r="J34" s="13"/>
      <c r="K34" s="57"/>
      <c r="L34" s="58"/>
      <c r="M34" s="14">
        <f t="shared" si="6"/>
        <v>0</v>
      </c>
      <c r="N34" s="14">
        <f t="shared" si="7"/>
        <v>0</v>
      </c>
      <c r="O34" s="16"/>
      <c r="P34" s="16"/>
      <c r="Q34" s="14">
        <f t="shared" si="4"/>
        <v>0</v>
      </c>
      <c r="R34" s="16">
        <f t="shared" si="5"/>
        <v>0</v>
      </c>
      <c r="S34" s="13"/>
      <c r="T34" s="13"/>
      <c r="U34" s="13"/>
      <c r="V34" s="13"/>
      <c r="W34" s="13"/>
      <c r="X34" s="4"/>
      <c r="Y34" s="4"/>
      <c r="Z34" s="4"/>
      <c r="AA34" s="4"/>
      <c r="AB34" s="4"/>
    </row>
    <row r="35" ht="15.75" customHeight="1">
      <c r="A35" s="13"/>
      <c r="B35" s="13"/>
      <c r="C35" s="13"/>
      <c r="D35" s="13"/>
      <c r="E35" s="13"/>
      <c r="F35" s="14">
        <f>E35/Assumptions!$B$16</f>
        <v>0</v>
      </c>
      <c r="G35" s="13"/>
      <c r="H35" s="13"/>
      <c r="I35" s="13"/>
      <c r="J35" s="13"/>
      <c r="K35" s="57"/>
      <c r="L35" s="58"/>
      <c r="M35" s="14">
        <f t="shared" si="6"/>
        <v>0</v>
      </c>
      <c r="N35" s="14">
        <f t="shared" si="7"/>
        <v>0</v>
      </c>
      <c r="O35" s="16"/>
      <c r="P35" s="16"/>
      <c r="Q35" s="14">
        <f t="shared" si="4"/>
        <v>0</v>
      </c>
      <c r="R35" s="16">
        <f t="shared" si="5"/>
        <v>0</v>
      </c>
      <c r="S35" s="13"/>
      <c r="T35" s="13"/>
      <c r="U35" s="13"/>
      <c r="V35" s="13"/>
      <c r="W35" s="13"/>
      <c r="X35" s="4"/>
      <c r="Y35" s="4"/>
      <c r="Z35" s="4"/>
      <c r="AA35" s="4"/>
      <c r="AB35" s="4"/>
    </row>
    <row r="36" ht="15.75" customHeight="1">
      <c r="A36" s="13"/>
      <c r="B36" s="13"/>
      <c r="C36" s="13"/>
      <c r="D36" s="13"/>
      <c r="E36" s="13"/>
      <c r="F36" s="14">
        <f>E36/Assumptions!$B$16</f>
        <v>0</v>
      </c>
      <c r="G36" s="13"/>
      <c r="H36" s="13"/>
      <c r="I36" s="13"/>
      <c r="J36" s="13"/>
      <c r="K36" s="57"/>
      <c r="L36" s="58"/>
      <c r="M36" s="14">
        <f t="shared" si="6"/>
        <v>0</v>
      </c>
      <c r="N36" s="14">
        <f t="shared" si="7"/>
        <v>0</v>
      </c>
      <c r="O36" s="16"/>
      <c r="P36" s="16"/>
      <c r="Q36" s="14">
        <f t="shared" si="4"/>
        <v>0</v>
      </c>
      <c r="R36" s="16">
        <f t="shared" si="5"/>
        <v>0</v>
      </c>
      <c r="S36" s="13"/>
      <c r="T36" s="13"/>
      <c r="U36" s="13"/>
      <c r="V36" s="13"/>
      <c r="W36" s="13"/>
      <c r="X36" s="4"/>
      <c r="Y36" s="4"/>
      <c r="Z36" s="4"/>
      <c r="AA36" s="4"/>
      <c r="AB36" s="4"/>
    </row>
    <row r="37" ht="15.75" customHeight="1">
      <c r="A37" s="13"/>
      <c r="B37" s="13"/>
      <c r="C37" s="13"/>
      <c r="D37" s="13"/>
      <c r="E37" s="13"/>
      <c r="F37" s="14">
        <f>E37/Assumptions!$B$16</f>
        <v>0</v>
      </c>
      <c r="G37" s="13"/>
      <c r="H37" s="13"/>
      <c r="I37" s="13"/>
      <c r="J37" s="13"/>
      <c r="K37" s="57"/>
      <c r="L37" s="58"/>
      <c r="M37" s="14">
        <f t="shared" si="6"/>
        <v>0</v>
      </c>
      <c r="N37" s="14">
        <f t="shared" si="7"/>
        <v>0</v>
      </c>
      <c r="O37" s="16"/>
      <c r="P37" s="16"/>
      <c r="Q37" s="14">
        <f t="shared" si="4"/>
        <v>0</v>
      </c>
      <c r="R37" s="16">
        <f t="shared" si="5"/>
        <v>0</v>
      </c>
      <c r="S37" s="13"/>
      <c r="T37" s="13"/>
      <c r="U37" s="13"/>
      <c r="V37" s="13"/>
      <c r="W37" s="13"/>
      <c r="X37" s="4"/>
      <c r="Y37" s="4"/>
      <c r="Z37" s="4"/>
      <c r="AA37" s="4"/>
      <c r="AB37" s="4"/>
    </row>
    <row r="38" ht="15.75" customHeight="1">
      <c r="A38" s="13"/>
      <c r="B38" s="13"/>
      <c r="C38" s="13"/>
      <c r="D38" s="13"/>
      <c r="E38" s="13"/>
      <c r="F38" s="14">
        <f>E38/Assumptions!$B$16</f>
        <v>0</v>
      </c>
      <c r="G38" s="13"/>
      <c r="H38" s="13"/>
      <c r="I38" s="13"/>
      <c r="J38" s="13"/>
      <c r="K38" s="57"/>
      <c r="L38" s="58"/>
      <c r="M38" s="14">
        <f t="shared" si="6"/>
        <v>0</v>
      </c>
      <c r="N38" s="14">
        <f t="shared" si="7"/>
        <v>0</v>
      </c>
      <c r="O38" s="16"/>
      <c r="P38" s="16"/>
      <c r="Q38" s="14">
        <f t="shared" si="4"/>
        <v>0</v>
      </c>
      <c r="R38" s="16">
        <f t="shared" si="5"/>
        <v>0</v>
      </c>
      <c r="S38" s="13"/>
      <c r="T38" s="13"/>
      <c r="U38" s="13"/>
      <c r="V38" s="13"/>
      <c r="W38" s="13"/>
      <c r="X38" s="4"/>
      <c r="Y38" s="4"/>
      <c r="Z38" s="4"/>
      <c r="AA38" s="4"/>
      <c r="AB38" s="4"/>
    </row>
    <row r="39" ht="15.75" customHeight="1">
      <c r="A39" s="13"/>
      <c r="B39" s="13"/>
      <c r="C39" s="13"/>
      <c r="D39" s="13"/>
      <c r="E39" s="13"/>
      <c r="F39" s="14">
        <f>E39/Assumptions!$B$16</f>
        <v>0</v>
      </c>
      <c r="G39" s="13"/>
      <c r="H39" s="13"/>
      <c r="I39" s="13"/>
      <c r="J39" s="13"/>
      <c r="K39" s="57"/>
      <c r="L39" s="58"/>
      <c r="M39" s="14">
        <f t="shared" si="6"/>
        <v>0</v>
      </c>
      <c r="N39" s="14">
        <f t="shared" si="7"/>
        <v>0</v>
      </c>
      <c r="O39" s="16"/>
      <c r="P39" s="16"/>
      <c r="Q39" s="14">
        <f t="shared" si="4"/>
        <v>0</v>
      </c>
      <c r="R39" s="16">
        <f t="shared" si="5"/>
        <v>0</v>
      </c>
      <c r="S39" s="13"/>
      <c r="T39" s="13"/>
      <c r="U39" s="13"/>
      <c r="V39" s="13"/>
      <c r="W39" s="13"/>
      <c r="X39" s="4"/>
      <c r="Y39" s="4"/>
      <c r="Z39" s="4"/>
      <c r="AA39" s="4"/>
      <c r="AB39" s="4"/>
    </row>
    <row r="40" ht="15.75" customHeight="1">
      <c r="A40" s="13"/>
      <c r="B40" s="13"/>
      <c r="C40" s="13"/>
      <c r="D40" s="13"/>
      <c r="E40" s="13"/>
      <c r="F40" s="14">
        <f>E40/Assumptions!$B$16</f>
        <v>0</v>
      </c>
      <c r="G40" s="13"/>
      <c r="H40" s="13"/>
      <c r="I40" s="13"/>
      <c r="J40" s="13"/>
      <c r="K40" s="57"/>
      <c r="L40" s="58"/>
      <c r="M40" s="14">
        <f t="shared" si="6"/>
        <v>0</v>
      </c>
      <c r="N40" s="14">
        <f t="shared" si="7"/>
        <v>0</v>
      </c>
      <c r="O40" s="16"/>
      <c r="P40" s="16"/>
      <c r="Q40" s="14">
        <f t="shared" si="4"/>
        <v>0</v>
      </c>
      <c r="R40" s="16">
        <f t="shared" si="5"/>
        <v>0</v>
      </c>
      <c r="S40" s="13"/>
      <c r="T40" s="13"/>
      <c r="U40" s="13"/>
      <c r="V40" s="13"/>
      <c r="W40" s="13"/>
      <c r="X40" s="4"/>
      <c r="Y40" s="4"/>
      <c r="Z40" s="4"/>
      <c r="AA40" s="4"/>
      <c r="AB40" s="4"/>
    </row>
    <row r="41" ht="15.75" customHeight="1">
      <c r="A41" s="13"/>
      <c r="B41" s="13"/>
      <c r="C41" s="13"/>
      <c r="D41" s="13"/>
      <c r="E41" s="13"/>
      <c r="F41" s="14">
        <f>E41/Assumptions!$B$16</f>
        <v>0</v>
      </c>
      <c r="G41" s="13"/>
      <c r="H41" s="13"/>
      <c r="I41" s="13"/>
      <c r="J41" s="13"/>
      <c r="K41" s="57"/>
      <c r="L41" s="58"/>
      <c r="M41" s="14">
        <f t="shared" si="6"/>
        <v>0</v>
      </c>
      <c r="N41" s="14">
        <f t="shared" si="7"/>
        <v>0</v>
      </c>
      <c r="O41" s="16"/>
      <c r="P41" s="16"/>
      <c r="Q41" s="14">
        <f t="shared" si="4"/>
        <v>0</v>
      </c>
      <c r="R41" s="16">
        <f t="shared" si="5"/>
        <v>0</v>
      </c>
      <c r="S41" s="13"/>
      <c r="T41" s="13"/>
      <c r="U41" s="13"/>
      <c r="V41" s="13"/>
      <c r="W41" s="13"/>
      <c r="X41" s="4"/>
      <c r="Y41" s="4"/>
      <c r="Z41" s="4"/>
      <c r="AA41" s="4"/>
      <c r="AB41" s="4"/>
    </row>
    <row r="42" ht="15.75" customHeight="1">
      <c r="A42" s="13"/>
      <c r="B42" s="13"/>
      <c r="C42" s="13"/>
      <c r="D42" s="13"/>
      <c r="E42" s="13"/>
      <c r="F42" s="14">
        <f>E42/Assumptions!$B$16</f>
        <v>0</v>
      </c>
      <c r="G42" s="13"/>
      <c r="H42" s="13"/>
      <c r="I42" s="13"/>
      <c r="J42" s="13"/>
      <c r="K42" s="57"/>
      <c r="L42" s="58"/>
      <c r="M42" s="14">
        <f t="shared" si="6"/>
        <v>0</v>
      </c>
      <c r="N42" s="14">
        <f t="shared" si="7"/>
        <v>0</v>
      </c>
      <c r="O42" s="16"/>
      <c r="P42" s="16"/>
      <c r="Q42" s="14">
        <f t="shared" si="4"/>
        <v>0</v>
      </c>
      <c r="R42" s="16">
        <f t="shared" si="5"/>
        <v>0</v>
      </c>
      <c r="S42" s="13"/>
      <c r="T42" s="13"/>
      <c r="U42" s="13"/>
      <c r="V42" s="13"/>
      <c r="W42" s="13"/>
      <c r="X42" s="4"/>
      <c r="Y42" s="4"/>
      <c r="Z42" s="4"/>
      <c r="AA42" s="4"/>
      <c r="AB42" s="4"/>
    </row>
    <row r="43" ht="15.75" customHeight="1">
      <c r="A43" s="13"/>
      <c r="B43" s="13"/>
      <c r="C43" s="13"/>
      <c r="D43" s="13"/>
      <c r="E43" s="13"/>
      <c r="F43" s="14">
        <f>E43/Assumptions!$B$16</f>
        <v>0</v>
      </c>
      <c r="G43" s="13"/>
      <c r="H43" s="13"/>
      <c r="I43" s="13"/>
      <c r="J43" s="13"/>
      <c r="K43" s="57"/>
      <c r="L43" s="58"/>
      <c r="M43" s="14">
        <f t="shared" si="6"/>
        <v>0</v>
      </c>
      <c r="N43" s="14">
        <f t="shared" si="7"/>
        <v>0</v>
      </c>
      <c r="O43" s="16"/>
      <c r="P43" s="16"/>
      <c r="Q43" s="14">
        <f t="shared" si="4"/>
        <v>0</v>
      </c>
      <c r="R43" s="16">
        <f t="shared" si="5"/>
        <v>0</v>
      </c>
      <c r="S43" s="13"/>
      <c r="T43" s="13"/>
      <c r="U43" s="13"/>
      <c r="V43" s="13"/>
      <c r="W43" s="13"/>
      <c r="X43" s="4"/>
      <c r="Y43" s="4"/>
      <c r="Z43" s="4"/>
      <c r="AA43" s="4"/>
      <c r="AB43" s="4"/>
    </row>
    <row r="44" ht="15.75" customHeight="1">
      <c r="A44" s="13"/>
      <c r="B44" s="13"/>
      <c r="C44" s="13"/>
      <c r="D44" s="13"/>
      <c r="E44" s="13"/>
      <c r="F44" s="14">
        <f>E44/Assumptions!$B$16</f>
        <v>0</v>
      </c>
      <c r="G44" s="13"/>
      <c r="H44" s="13"/>
      <c r="I44" s="13"/>
      <c r="J44" s="13"/>
      <c r="K44" s="57"/>
      <c r="L44" s="58"/>
      <c r="M44" s="14">
        <f t="shared" si="6"/>
        <v>0</v>
      </c>
      <c r="N44" s="14">
        <f t="shared" si="7"/>
        <v>0</v>
      </c>
      <c r="O44" s="16"/>
      <c r="P44" s="16"/>
      <c r="Q44" s="14">
        <f t="shared" si="4"/>
        <v>0</v>
      </c>
      <c r="R44" s="16">
        <f t="shared" si="5"/>
        <v>0</v>
      </c>
      <c r="S44" s="13"/>
      <c r="T44" s="13"/>
      <c r="U44" s="13"/>
      <c r="V44" s="13"/>
      <c r="W44" s="13"/>
      <c r="X44" s="4"/>
      <c r="Y44" s="4"/>
      <c r="Z44" s="4"/>
      <c r="AA44" s="4"/>
      <c r="AB44" s="4"/>
    </row>
    <row r="45" ht="15.75" customHeight="1">
      <c r="A45" s="13"/>
      <c r="B45" s="13"/>
      <c r="C45" s="13"/>
      <c r="D45" s="13"/>
      <c r="E45" s="13"/>
      <c r="F45" s="14">
        <f>E45/Assumptions!$B$16</f>
        <v>0</v>
      </c>
      <c r="G45" s="13"/>
      <c r="H45" s="13"/>
      <c r="I45" s="13"/>
      <c r="J45" s="13"/>
      <c r="K45" s="57"/>
      <c r="L45" s="58"/>
      <c r="M45" s="14">
        <f t="shared" si="6"/>
        <v>0</v>
      </c>
      <c r="N45" s="14">
        <f t="shared" si="7"/>
        <v>0</v>
      </c>
      <c r="O45" s="16"/>
      <c r="P45" s="16"/>
      <c r="Q45" s="14">
        <f t="shared" si="4"/>
        <v>0</v>
      </c>
      <c r="R45" s="16">
        <f t="shared" si="5"/>
        <v>0</v>
      </c>
      <c r="S45" s="13"/>
      <c r="T45" s="13"/>
      <c r="U45" s="13"/>
      <c r="V45" s="13"/>
      <c r="W45" s="13"/>
      <c r="X45" s="4"/>
      <c r="Y45" s="4"/>
      <c r="Z45" s="4"/>
      <c r="AA45" s="4"/>
      <c r="AB45" s="4"/>
    </row>
    <row r="46" ht="15.75" customHeight="1">
      <c r="A46" s="13"/>
      <c r="B46" s="13"/>
      <c r="C46" s="13"/>
      <c r="D46" s="13"/>
      <c r="E46" s="13"/>
      <c r="F46" s="14">
        <f>E46/Assumptions!$B$16</f>
        <v>0</v>
      </c>
      <c r="G46" s="13"/>
      <c r="H46" s="13"/>
      <c r="I46" s="13"/>
      <c r="J46" s="13"/>
      <c r="K46" s="57"/>
      <c r="L46" s="58"/>
      <c r="M46" s="14">
        <f t="shared" si="6"/>
        <v>0</v>
      </c>
      <c r="N46" s="14">
        <f t="shared" si="7"/>
        <v>0</v>
      </c>
      <c r="O46" s="16"/>
      <c r="P46" s="16"/>
      <c r="Q46" s="14">
        <f t="shared" si="4"/>
        <v>0</v>
      </c>
      <c r="R46" s="16">
        <f t="shared" si="5"/>
        <v>0</v>
      </c>
      <c r="S46" s="13"/>
      <c r="T46" s="13"/>
      <c r="U46" s="13"/>
      <c r="V46" s="13"/>
      <c r="W46" s="13"/>
      <c r="X46" s="4"/>
      <c r="Y46" s="4"/>
      <c r="Z46" s="4"/>
      <c r="AA46" s="4"/>
      <c r="AB46" s="4"/>
    </row>
    <row r="47" ht="15.75" customHeight="1">
      <c r="A47" s="13"/>
      <c r="B47" s="13"/>
      <c r="C47" s="13"/>
      <c r="D47" s="13"/>
      <c r="E47" s="13"/>
      <c r="F47" s="14">
        <f>E47/Assumptions!$B$16</f>
        <v>0</v>
      </c>
      <c r="G47" s="13"/>
      <c r="H47" s="13"/>
      <c r="I47" s="13"/>
      <c r="J47" s="13"/>
      <c r="K47" s="57"/>
      <c r="L47" s="58"/>
      <c r="M47" s="14">
        <f t="shared" si="6"/>
        <v>0</v>
      </c>
      <c r="N47" s="14">
        <f t="shared" si="7"/>
        <v>0</v>
      </c>
      <c r="O47" s="16"/>
      <c r="P47" s="16"/>
      <c r="Q47" s="14">
        <f t="shared" si="4"/>
        <v>0</v>
      </c>
      <c r="R47" s="16">
        <f t="shared" si="5"/>
        <v>0</v>
      </c>
      <c r="S47" s="13"/>
      <c r="T47" s="13"/>
      <c r="U47" s="13"/>
      <c r="V47" s="13"/>
      <c r="W47" s="13"/>
      <c r="X47" s="4"/>
      <c r="Y47" s="4"/>
      <c r="Z47" s="4"/>
      <c r="AA47" s="4"/>
      <c r="AB47" s="4"/>
    </row>
    <row r="48" ht="15.75" customHeight="1">
      <c r="A48" s="13"/>
      <c r="B48" s="13"/>
      <c r="C48" s="13"/>
      <c r="D48" s="13"/>
      <c r="E48" s="13"/>
      <c r="F48" s="14">
        <f>E48/Assumptions!$B$16</f>
        <v>0</v>
      </c>
      <c r="G48" s="13"/>
      <c r="H48" s="13"/>
      <c r="I48" s="13"/>
      <c r="J48" s="13"/>
      <c r="K48" s="57"/>
      <c r="L48" s="58"/>
      <c r="M48" s="14">
        <f t="shared" si="6"/>
        <v>0</v>
      </c>
      <c r="N48" s="14">
        <f t="shared" si="7"/>
        <v>0</v>
      </c>
      <c r="O48" s="16"/>
      <c r="P48" s="16"/>
      <c r="Q48" s="14">
        <f t="shared" si="4"/>
        <v>0</v>
      </c>
      <c r="R48" s="16">
        <f t="shared" si="5"/>
        <v>0</v>
      </c>
      <c r="S48" s="13"/>
      <c r="T48" s="13"/>
      <c r="U48" s="13"/>
      <c r="V48" s="13"/>
      <c r="W48" s="13"/>
      <c r="X48" s="4"/>
      <c r="Y48" s="4"/>
      <c r="Z48" s="4"/>
      <c r="AA48" s="4"/>
      <c r="AB48" s="4"/>
    </row>
    <row r="49" ht="15.75" customHeight="1">
      <c r="A49" s="13"/>
      <c r="B49" s="13"/>
      <c r="C49" s="13"/>
      <c r="D49" s="13"/>
      <c r="E49" s="13"/>
      <c r="F49" s="14">
        <f>E49/Assumptions!$B$16</f>
        <v>0</v>
      </c>
      <c r="G49" s="13"/>
      <c r="H49" s="13"/>
      <c r="I49" s="13"/>
      <c r="J49" s="13"/>
      <c r="K49" s="57"/>
      <c r="L49" s="58"/>
      <c r="M49" s="14">
        <f t="shared" si="6"/>
        <v>0</v>
      </c>
      <c r="N49" s="14">
        <f t="shared" si="7"/>
        <v>0</v>
      </c>
      <c r="O49" s="16"/>
      <c r="P49" s="16"/>
      <c r="Q49" s="14">
        <f t="shared" si="4"/>
        <v>0</v>
      </c>
      <c r="R49" s="16">
        <f t="shared" si="5"/>
        <v>0</v>
      </c>
      <c r="S49" s="13"/>
      <c r="T49" s="13"/>
      <c r="U49" s="13"/>
      <c r="V49" s="13"/>
      <c r="W49" s="13"/>
      <c r="X49" s="4"/>
      <c r="Y49" s="4"/>
      <c r="Z49" s="4"/>
      <c r="AA49" s="4"/>
      <c r="AB49" s="4"/>
    </row>
    <row r="50" ht="15.75" customHeight="1">
      <c r="A50" s="13"/>
      <c r="B50" s="13"/>
      <c r="C50" s="13"/>
      <c r="D50" s="13"/>
      <c r="E50" s="13"/>
      <c r="F50" s="14">
        <f>E50/Assumptions!$B$16</f>
        <v>0</v>
      </c>
      <c r="G50" s="13"/>
      <c r="H50" s="13"/>
      <c r="I50" s="13"/>
      <c r="J50" s="13"/>
      <c r="K50" s="57"/>
      <c r="L50" s="58"/>
      <c r="M50" s="14">
        <f t="shared" si="6"/>
        <v>0</v>
      </c>
      <c r="N50" s="14">
        <f t="shared" si="7"/>
        <v>0</v>
      </c>
      <c r="O50" s="13"/>
      <c r="P50" s="13"/>
      <c r="Q50" s="14">
        <f t="shared" si="4"/>
        <v>0</v>
      </c>
      <c r="R50" s="16">
        <f t="shared" si="5"/>
        <v>0</v>
      </c>
      <c r="S50" s="13"/>
      <c r="T50" s="13"/>
      <c r="U50" s="13"/>
      <c r="V50" s="13"/>
      <c r="W50" s="13"/>
      <c r="X50" s="4"/>
      <c r="Y50" s="4"/>
      <c r="Z50" s="4"/>
      <c r="AA50" s="4"/>
      <c r="AB50" s="4"/>
    </row>
    <row r="51" ht="15.75" customHeight="1">
      <c r="A51" s="13"/>
      <c r="B51" s="13"/>
      <c r="C51" s="13"/>
      <c r="D51" s="13"/>
      <c r="E51" s="13"/>
      <c r="F51" s="14">
        <f>E51/Assumptions!$B$16</f>
        <v>0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4"/>
      <c r="Y51" s="4"/>
      <c r="Z51" s="4"/>
      <c r="AA51" s="4"/>
      <c r="AB51" s="4"/>
    </row>
    <row r="52" ht="15.75" customHeight="1">
      <c r="A52" s="13"/>
      <c r="B52" s="13"/>
      <c r="C52" s="13"/>
      <c r="D52" s="13"/>
      <c r="E52" s="13"/>
      <c r="F52" s="14">
        <f>E52/Assumptions!$B$16</f>
        <v>0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4"/>
      <c r="Y52" s="4"/>
      <c r="Z52" s="4"/>
      <c r="AA52" s="4"/>
      <c r="AB52" s="4"/>
    </row>
    <row r="53" ht="15.75" customHeight="1">
      <c r="A53" s="13"/>
      <c r="B53" s="13"/>
      <c r="C53" s="13"/>
      <c r="D53" s="13"/>
      <c r="E53" s="13"/>
      <c r="F53" s="14">
        <f>E53/Assumptions!$B$16</f>
        <v>0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4"/>
      <c r="Y53" s="4"/>
      <c r="Z53" s="4"/>
      <c r="AA53" s="4"/>
      <c r="AB53" s="4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4"/>
      <c r="Y54" s="4"/>
      <c r="Z54" s="4"/>
      <c r="AA54" s="4"/>
      <c r="AB54" s="4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4"/>
      <c r="Y55" s="4"/>
      <c r="Z55" s="4"/>
      <c r="AA55" s="4"/>
      <c r="AB55" s="4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4"/>
      <c r="Y56" s="4"/>
      <c r="Z56" s="4"/>
      <c r="AA56" s="4"/>
      <c r="AB56" s="4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4"/>
      <c r="Y57" s="4"/>
      <c r="Z57" s="4"/>
      <c r="AA57" s="4"/>
      <c r="AB57" s="4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4"/>
      <c r="Y58" s="4"/>
      <c r="Z58" s="4"/>
      <c r="AA58" s="4"/>
      <c r="AB58" s="4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4"/>
      <c r="Y59" s="4"/>
      <c r="Z59" s="4"/>
      <c r="AA59" s="4"/>
      <c r="AB59" s="4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4"/>
      <c r="Y60" s="4"/>
      <c r="Z60" s="4"/>
      <c r="AA60" s="4"/>
      <c r="AB60" s="4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4"/>
      <c r="Y61" s="4"/>
      <c r="Z61" s="4"/>
      <c r="AA61" s="4"/>
      <c r="AB61" s="4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4"/>
      <c r="Y62" s="4"/>
      <c r="Z62" s="4"/>
      <c r="AA62" s="4"/>
      <c r="AB62" s="4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4"/>
      <c r="Y63" s="4"/>
      <c r="Z63" s="4"/>
      <c r="AA63" s="4"/>
      <c r="AB63" s="4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4"/>
      <c r="Y64" s="4"/>
      <c r="Z64" s="4"/>
      <c r="AA64" s="4"/>
      <c r="AB64" s="4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4"/>
      <c r="Y65" s="4"/>
      <c r="Z65" s="4"/>
      <c r="AA65" s="4"/>
      <c r="AB65" s="4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4"/>
      <c r="Y66" s="4"/>
      <c r="Z66" s="4"/>
      <c r="AA66" s="4"/>
      <c r="AB66" s="4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4"/>
      <c r="Y67" s="4"/>
      <c r="Z67" s="4"/>
      <c r="AA67" s="4"/>
      <c r="AB67" s="4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4"/>
      <c r="Y68" s="4"/>
      <c r="Z68" s="4"/>
      <c r="AA68" s="4"/>
      <c r="AB68" s="4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4"/>
      <c r="Y69" s="4"/>
      <c r="Z69" s="4"/>
      <c r="AA69" s="4"/>
      <c r="AB69" s="4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4"/>
      <c r="Y70" s="4"/>
      <c r="Z70" s="4"/>
      <c r="AA70" s="4"/>
      <c r="AB70" s="4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4"/>
      <c r="Y71" s="4"/>
      <c r="Z71" s="4"/>
      <c r="AA71" s="4"/>
      <c r="AB71" s="4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4"/>
      <c r="Y72" s="4"/>
      <c r="Z72" s="4"/>
      <c r="AA72" s="4"/>
      <c r="AB72" s="4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4"/>
      <c r="Y73" s="4"/>
      <c r="Z73" s="4"/>
      <c r="AA73" s="4"/>
      <c r="AB73" s="4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4"/>
      <c r="Y74" s="4"/>
      <c r="Z74" s="4"/>
      <c r="AA74" s="4"/>
      <c r="AB74" s="4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4"/>
      <c r="Y75" s="4"/>
      <c r="Z75" s="4"/>
      <c r="AA75" s="4"/>
      <c r="AB75" s="4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4"/>
      <c r="Y76" s="4"/>
      <c r="Z76" s="4"/>
      <c r="AA76" s="4"/>
      <c r="AB76" s="4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4"/>
      <c r="Y77" s="4"/>
      <c r="Z77" s="4"/>
      <c r="AA77" s="4"/>
      <c r="AB77" s="4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4"/>
      <c r="Y78" s="4"/>
      <c r="Z78" s="4"/>
      <c r="AA78" s="4"/>
      <c r="AB78" s="4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4"/>
      <c r="Y79" s="4"/>
      <c r="Z79" s="4"/>
      <c r="AA79" s="4"/>
      <c r="AB79" s="4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4"/>
      <c r="Y80" s="4"/>
      <c r="Z80" s="4"/>
      <c r="AA80" s="4"/>
      <c r="AB80" s="4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4"/>
      <c r="Y81" s="4"/>
      <c r="Z81" s="4"/>
      <c r="AA81" s="4"/>
      <c r="AB81" s="4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4"/>
      <c r="Y82" s="4"/>
      <c r="Z82" s="4"/>
      <c r="AA82" s="4"/>
      <c r="AB82" s="4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4"/>
      <c r="Y83" s="4"/>
      <c r="Z83" s="4"/>
      <c r="AA83" s="4"/>
      <c r="AB83" s="4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4"/>
      <c r="Y84" s="4"/>
      <c r="Z84" s="4"/>
      <c r="AA84" s="4"/>
      <c r="AB84" s="4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4"/>
      <c r="Y85" s="4"/>
      <c r="Z85" s="4"/>
      <c r="AA85" s="4"/>
      <c r="AB85" s="4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4"/>
      <c r="Y86" s="4"/>
      <c r="Z86" s="4"/>
      <c r="AA86" s="4"/>
      <c r="AB86" s="4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4"/>
      <c r="Y87" s="4"/>
      <c r="Z87" s="4"/>
      <c r="AA87" s="4"/>
      <c r="AB87" s="4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4"/>
      <c r="Y88" s="4"/>
      <c r="Z88" s="4"/>
      <c r="AA88" s="4"/>
      <c r="AB88" s="4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4"/>
      <c r="Y89" s="4"/>
      <c r="Z89" s="4"/>
      <c r="AA89" s="4"/>
      <c r="AB89" s="4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4"/>
      <c r="Y90" s="4"/>
      <c r="Z90" s="4"/>
      <c r="AA90" s="4"/>
      <c r="AB90" s="4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4"/>
      <c r="Y91" s="4"/>
      <c r="Z91" s="4"/>
      <c r="AA91" s="4"/>
      <c r="AB91" s="4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4"/>
      <c r="Y92" s="4"/>
      <c r="Z92" s="4"/>
      <c r="AA92" s="4"/>
      <c r="AB92" s="4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4"/>
      <c r="Y93" s="4"/>
      <c r="Z93" s="4"/>
      <c r="AA93" s="4"/>
      <c r="AB93" s="4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4"/>
      <c r="Y94" s="4"/>
      <c r="Z94" s="4"/>
      <c r="AA94" s="4"/>
      <c r="AB94" s="4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4"/>
      <c r="Y95" s="4"/>
      <c r="Z95" s="4"/>
      <c r="AA95" s="4"/>
      <c r="AB95" s="4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4"/>
      <c r="Y96" s="4"/>
      <c r="Z96" s="4"/>
      <c r="AA96" s="4"/>
      <c r="AB96" s="4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4"/>
      <c r="Y97" s="4"/>
      <c r="Z97" s="4"/>
      <c r="AA97" s="4"/>
      <c r="AB97" s="4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4"/>
      <c r="Y98" s="4"/>
      <c r="Z98" s="4"/>
      <c r="AA98" s="4"/>
      <c r="AB98" s="4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4"/>
      <c r="Y99" s="4"/>
      <c r="Z99" s="4"/>
      <c r="AA99" s="4"/>
      <c r="AB99" s="4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4"/>
      <c r="Y100" s="4"/>
      <c r="Z100" s="4"/>
      <c r="AA100" s="4"/>
      <c r="AB100" s="4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4"/>
      <c r="Y101" s="4"/>
      <c r="Z101" s="4"/>
      <c r="AA101" s="4"/>
      <c r="AB101" s="4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4"/>
      <c r="Y102" s="4"/>
      <c r="Z102" s="4"/>
      <c r="AA102" s="4"/>
      <c r="AB102" s="4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4"/>
      <c r="Y103" s="4"/>
      <c r="Z103" s="4"/>
      <c r="AA103" s="4"/>
      <c r="AB103" s="4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4"/>
      <c r="Y104" s="4"/>
      <c r="Z104" s="4"/>
      <c r="AA104" s="4"/>
      <c r="AB104" s="4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4"/>
      <c r="Y105" s="4"/>
      <c r="Z105" s="4"/>
      <c r="AA105" s="4"/>
      <c r="AB105" s="4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4"/>
      <c r="Y106" s="4"/>
      <c r="Z106" s="4"/>
      <c r="AA106" s="4"/>
      <c r="AB106" s="4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4"/>
      <c r="Y107" s="4"/>
      <c r="Z107" s="4"/>
      <c r="AA107" s="4"/>
      <c r="AB107" s="4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4"/>
      <c r="Y108" s="4"/>
      <c r="Z108" s="4"/>
      <c r="AA108" s="4"/>
      <c r="AB108" s="4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4"/>
      <c r="Y109" s="4"/>
      <c r="Z109" s="4"/>
      <c r="AA109" s="4"/>
      <c r="AB109" s="4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4"/>
      <c r="Y110" s="4"/>
      <c r="Z110" s="4"/>
      <c r="AA110" s="4"/>
      <c r="AB110" s="4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4"/>
      <c r="Y111" s="4"/>
      <c r="Z111" s="4"/>
      <c r="AA111" s="4"/>
      <c r="AB111" s="4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4"/>
      <c r="Y112" s="4"/>
      <c r="Z112" s="4"/>
      <c r="AA112" s="4"/>
      <c r="AB112" s="4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4"/>
      <c r="Y113" s="4"/>
      <c r="Z113" s="4"/>
      <c r="AA113" s="4"/>
      <c r="AB113" s="4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4"/>
      <c r="Y114" s="4"/>
      <c r="Z114" s="4"/>
      <c r="AA114" s="4"/>
      <c r="AB114" s="4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4"/>
      <c r="Y115" s="4"/>
      <c r="Z115" s="4"/>
      <c r="AA115" s="4"/>
      <c r="AB115" s="4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4"/>
      <c r="Y116" s="4"/>
      <c r="Z116" s="4"/>
      <c r="AA116" s="4"/>
      <c r="AB116" s="4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4"/>
      <c r="Y117" s="4"/>
      <c r="Z117" s="4"/>
      <c r="AA117" s="4"/>
      <c r="AB117" s="4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4"/>
      <c r="Y118" s="4"/>
      <c r="Z118" s="4"/>
      <c r="AA118" s="4"/>
      <c r="AB118" s="4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4"/>
      <c r="Y119" s="4"/>
      <c r="Z119" s="4"/>
      <c r="AA119" s="4"/>
      <c r="AB119" s="4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4"/>
      <c r="Y120" s="4"/>
      <c r="Z120" s="4"/>
      <c r="AA120" s="4"/>
      <c r="AB120" s="4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4"/>
      <c r="Y121" s="4"/>
      <c r="Z121" s="4"/>
      <c r="AA121" s="4"/>
      <c r="AB121" s="4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4"/>
      <c r="Y122" s="4"/>
      <c r="Z122" s="4"/>
      <c r="AA122" s="4"/>
      <c r="AB122" s="4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4"/>
      <c r="Y123" s="4"/>
      <c r="Z123" s="4"/>
      <c r="AA123" s="4"/>
      <c r="AB123" s="4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4"/>
      <c r="Y124" s="4"/>
      <c r="Z124" s="4"/>
      <c r="AA124" s="4"/>
      <c r="AB124" s="4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4"/>
      <c r="Y125" s="4"/>
      <c r="Z125" s="4"/>
      <c r="AA125" s="4"/>
      <c r="AB125" s="4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4"/>
      <c r="Y126" s="4"/>
      <c r="Z126" s="4"/>
      <c r="AA126" s="4"/>
      <c r="AB126" s="4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4"/>
      <c r="Y127" s="4"/>
      <c r="Z127" s="4"/>
      <c r="AA127" s="4"/>
      <c r="AB127" s="4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4"/>
      <c r="Y128" s="4"/>
      <c r="Z128" s="4"/>
      <c r="AA128" s="4"/>
      <c r="AB128" s="4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4"/>
      <c r="Y129" s="4"/>
      <c r="Z129" s="4"/>
      <c r="AA129" s="4"/>
      <c r="AB129" s="4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4"/>
      <c r="Y130" s="4"/>
      <c r="Z130" s="4"/>
      <c r="AA130" s="4"/>
      <c r="AB130" s="4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4"/>
      <c r="Y131" s="4"/>
      <c r="Z131" s="4"/>
      <c r="AA131" s="4"/>
      <c r="AB131" s="4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4"/>
      <c r="Y132" s="4"/>
      <c r="Z132" s="4"/>
      <c r="AA132" s="4"/>
      <c r="AB132" s="4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4"/>
      <c r="Y133" s="4"/>
      <c r="Z133" s="4"/>
      <c r="AA133" s="4"/>
      <c r="AB133" s="4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4"/>
      <c r="Y134" s="4"/>
      <c r="Z134" s="4"/>
      <c r="AA134" s="4"/>
      <c r="AB134" s="4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4"/>
      <c r="Y135" s="4"/>
      <c r="Z135" s="4"/>
      <c r="AA135" s="4"/>
      <c r="AB135" s="4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4"/>
      <c r="Y136" s="4"/>
      <c r="Z136" s="4"/>
      <c r="AA136" s="4"/>
      <c r="AB136" s="4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4"/>
      <c r="Y137" s="4"/>
      <c r="Z137" s="4"/>
      <c r="AA137" s="4"/>
      <c r="AB137" s="4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4"/>
      <c r="Y138" s="4"/>
      <c r="Z138" s="4"/>
      <c r="AA138" s="4"/>
      <c r="AB138" s="4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4"/>
      <c r="Y139" s="4"/>
      <c r="Z139" s="4"/>
      <c r="AA139" s="4"/>
      <c r="AB139" s="4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4"/>
      <c r="Y140" s="4"/>
      <c r="Z140" s="4"/>
      <c r="AA140" s="4"/>
      <c r="AB140" s="4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4"/>
      <c r="Y141" s="4"/>
      <c r="Z141" s="4"/>
      <c r="AA141" s="4"/>
      <c r="AB141" s="4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4"/>
      <c r="Y142" s="4"/>
      <c r="Z142" s="4"/>
      <c r="AA142" s="4"/>
      <c r="AB142" s="4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4"/>
      <c r="Y143" s="4"/>
      <c r="Z143" s="4"/>
      <c r="AA143" s="4"/>
      <c r="AB143" s="4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4"/>
      <c r="Y144" s="4"/>
      <c r="Z144" s="4"/>
      <c r="AA144" s="4"/>
      <c r="AB144" s="4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4"/>
      <c r="Y145" s="4"/>
      <c r="Z145" s="4"/>
      <c r="AA145" s="4"/>
      <c r="AB145" s="4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4"/>
      <c r="Y146" s="4"/>
      <c r="Z146" s="4"/>
      <c r="AA146" s="4"/>
      <c r="AB146" s="4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4"/>
      <c r="Y147" s="4"/>
      <c r="Z147" s="4"/>
      <c r="AA147" s="4"/>
      <c r="AB147" s="4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4"/>
      <c r="Y148" s="4"/>
      <c r="Z148" s="4"/>
      <c r="AA148" s="4"/>
      <c r="AB148" s="4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4"/>
      <c r="Y149" s="4"/>
      <c r="Z149" s="4"/>
      <c r="AA149" s="4"/>
      <c r="AB149" s="4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4"/>
      <c r="Y150" s="4"/>
      <c r="Z150" s="4"/>
      <c r="AA150" s="4"/>
      <c r="AB150" s="4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4"/>
      <c r="Y151" s="4"/>
      <c r="Z151" s="4"/>
      <c r="AA151" s="4"/>
      <c r="AB151" s="4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4"/>
      <c r="Y152" s="4"/>
      <c r="Z152" s="4"/>
      <c r="AA152" s="4"/>
      <c r="AB152" s="4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4"/>
      <c r="Y153" s="4"/>
      <c r="Z153" s="4"/>
      <c r="AA153" s="4"/>
      <c r="AB153" s="4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4"/>
      <c r="Y154" s="4"/>
      <c r="Z154" s="4"/>
      <c r="AA154" s="4"/>
      <c r="AB154" s="4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4"/>
      <c r="Y155" s="4"/>
      <c r="Z155" s="4"/>
      <c r="AA155" s="4"/>
      <c r="AB155" s="4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4"/>
      <c r="Y156" s="4"/>
      <c r="Z156" s="4"/>
      <c r="AA156" s="4"/>
      <c r="AB156" s="4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4"/>
      <c r="Y157" s="4"/>
      <c r="Z157" s="4"/>
      <c r="AA157" s="4"/>
      <c r="AB157" s="4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4"/>
      <c r="Y158" s="4"/>
      <c r="Z158" s="4"/>
      <c r="AA158" s="4"/>
      <c r="AB158" s="4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4"/>
      <c r="Y159" s="4"/>
      <c r="Z159" s="4"/>
      <c r="AA159" s="4"/>
      <c r="AB159" s="4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4"/>
      <c r="Y160" s="4"/>
      <c r="Z160" s="4"/>
      <c r="AA160" s="4"/>
      <c r="AB160" s="4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4"/>
      <c r="Y161" s="4"/>
      <c r="Z161" s="4"/>
      <c r="AA161" s="4"/>
      <c r="AB161" s="4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4"/>
      <c r="Y162" s="4"/>
      <c r="Z162" s="4"/>
      <c r="AA162" s="4"/>
      <c r="AB162" s="4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4"/>
      <c r="Y163" s="4"/>
      <c r="Z163" s="4"/>
      <c r="AA163" s="4"/>
      <c r="AB163" s="4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4"/>
      <c r="Y164" s="4"/>
      <c r="Z164" s="4"/>
      <c r="AA164" s="4"/>
      <c r="AB164" s="4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4"/>
      <c r="Y165" s="4"/>
      <c r="Z165" s="4"/>
      <c r="AA165" s="4"/>
      <c r="AB165" s="4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4"/>
      <c r="Y166" s="4"/>
      <c r="Z166" s="4"/>
      <c r="AA166" s="4"/>
      <c r="AB166" s="4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4"/>
      <c r="Y167" s="4"/>
      <c r="Z167" s="4"/>
      <c r="AA167" s="4"/>
      <c r="AB167" s="4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4"/>
      <c r="Y168" s="4"/>
      <c r="Z168" s="4"/>
      <c r="AA168" s="4"/>
      <c r="AB168" s="4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4"/>
      <c r="Y169" s="4"/>
      <c r="Z169" s="4"/>
      <c r="AA169" s="4"/>
      <c r="AB169" s="4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4"/>
      <c r="Y170" s="4"/>
      <c r="Z170" s="4"/>
      <c r="AA170" s="4"/>
      <c r="AB170" s="4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4"/>
      <c r="Y171" s="4"/>
      <c r="Z171" s="4"/>
      <c r="AA171" s="4"/>
      <c r="AB171" s="4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4"/>
      <c r="Y172" s="4"/>
      <c r="Z172" s="4"/>
      <c r="AA172" s="4"/>
      <c r="AB172" s="4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4"/>
      <c r="Y173" s="4"/>
      <c r="Z173" s="4"/>
      <c r="AA173" s="4"/>
      <c r="AB173" s="4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4"/>
      <c r="Y174" s="4"/>
      <c r="Z174" s="4"/>
      <c r="AA174" s="4"/>
      <c r="AB174" s="4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4"/>
      <c r="Y175" s="4"/>
      <c r="Z175" s="4"/>
      <c r="AA175" s="4"/>
      <c r="AB175" s="4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4"/>
      <c r="Y176" s="4"/>
      <c r="Z176" s="4"/>
      <c r="AA176" s="4"/>
      <c r="AB176" s="4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4"/>
      <c r="Y177" s="4"/>
      <c r="Z177" s="4"/>
      <c r="AA177" s="4"/>
      <c r="AB177" s="4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4"/>
      <c r="Y178" s="4"/>
      <c r="Z178" s="4"/>
      <c r="AA178" s="4"/>
      <c r="AB178" s="4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4"/>
      <c r="Y179" s="4"/>
      <c r="Z179" s="4"/>
      <c r="AA179" s="4"/>
      <c r="AB179" s="4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4"/>
      <c r="Y180" s="4"/>
      <c r="Z180" s="4"/>
      <c r="AA180" s="4"/>
      <c r="AB180" s="4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4"/>
      <c r="Y181" s="4"/>
      <c r="Z181" s="4"/>
      <c r="AA181" s="4"/>
      <c r="AB181" s="4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4"/>
      <c r="Y182" s="4"/>
      <c r="Z182" s="4"/>
      <c r="AA182" s="4"/>
      <c r="AB182" s="4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4"/>
      <c r="Y183" s="4"/>
      <c r="Z183" s="4"/>
      <c r="AA183" s="4"/>
      <c r="AB183" s="4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4"/>
      <c r="Y184" s="4"/>
      <c r="Z184" s="4"/>
      <c r="AA184" s="4"/>
      <c r="AB184" s="4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4"/>
      <c r="Y185" s="4"/>
      <c r="Z185" s="4"/>
      <c r="AA185" s="4"/>
      <c r="AB185" s="4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4"/>
      <c r="Y186" s="4"/>
      <c r="Z186" s="4"/>
      <c r="AA186" s="4"/>
      <c r="AB186" s="4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4"/>
      <c r="Y187" s="4"/>
      <c r="Z187" s="4"/>
      <c r="AA187" s="4"/>
      <c r="AB187" s="4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4"/>
      <c r="Y188" s="4"/>
      <c r="Z188" s="4"/>
      <c r="AA188" s="4"/>
      <c r="AB188" s="4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4"/>
      <c r="Y189" s="4"/>
      <c r="Z189" s="4"/>
      <c r="AA189" s="4"/>
      <c r="AB189" s="4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4"/>
      <c r="Y190" s="4"/>
      <c r="Z190" s="4"/>
      <c r="AA190" s="4"/>
      <c r="AB190" s="4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4"/>
      <c r="Y191" s="4"/>
      <c r="Z191" s="4"/>
      <c r="AA191" s="4"/>
      <c r="AB191" s="4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4"/>
      <c r="Y192" s="4"/>
      <c r="Z192" s="4"/>
      <c r="AA192" s="4"/>
      <c r="AB192" s="4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4"/>
      <c r="Y193" s="4"/>
      <c r="Z193" s="4"/>
      <c r="AA193" s="4"/>
      <c r="AB193" s="4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4"/>
      <c r="Y194" s="4"/>
      <c r="Z194" s="4"/>
      <c r="AA194" s="4"/>
      <c r="AB194" s="4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4"/>
      <c r="Y195" s="4"/>
      <c r="Z195" s="4"/>
      <c r="AA195" s="4"/>
      <c r="AB195" s="4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4"/>
      <c r="Y196" s="4"/>
      <c r="Z196" s="4"/>
      <c r="AA196" s="4"/>
      <c r="AB196" s="4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4"/>
      <c r="Y197" s="4"/>
      <c r="Z197" s="4"/>
      <c r="AA197" s="4"/>
      <c r="AB197" s="4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4"/>
      <c r="Y198" s="4"/>
      <c r="Z198" s="4"/>
      <c r="AA198" s="4"/>
      <c r="AB198" s="4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4"/>
      <c r="Y199" s="4"/>
      <c r="Z199" s="4"/>
      <c r="AA199" s="4"/>
      <c r="AB199" s="4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4"/>
      <c r="Y200" s="4"/>
      <c r="Z200" s="4"/>
      <c r="AA200" s="4"/>
      <c r="AB200" s="4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4"/>
      <c r="Y201" s="4"/>
      <c r="Z201" s="4"/>
      <c r="AA201" s="4"/>
      <c r="AB201" s="4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4"/>
      <c r="Y202" s="4"/>
      <c r="Z202" s="4"/>
      <c r="AA202" s="4"/>
      <c r="AB202" s="4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4"/>
      <c r="Y203" s="4"/>
      <c r="Z203" s="4"/>
      <c r="AA203" s="4"/>
      <c r="AB203" s="4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4"/>
      <c r="Y204" s="4"/>
      <c r="Z204" s="4"/>
      <c r="AA204" s="4"/>
      <c r="AB204" s="4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4"/>
      <c r="Y205" s="4"/>
      <c r="Z205" s="4"/>
      <c r="AA205" s="4"/>
      <c r="AB205" s="4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4"/>
      <c r="Y206" s="4"/>
      <c r="Z206" s="4"/>
      <c r="AA206" s="4"/>
      <c r="AB206" s="4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4"/>
      <c r="Y207" s="4"/>
      <c r="Z207" s="4"/>
      <c r="AA207" s="4"/>
      <c r="AB207" s="4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4"/>
      <c r="Y208" s="4"/>
      <c r="Z208" s="4"/>
      <c r="AA208" s="4"/>
      <c r="AB208" s="4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4"/>
      <c r="Y209" s="4"/>
      <c r="Z209" s="4"/>
      <c r="AA209" s="4"/>
      <c r="AB209" s="4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4"/>
      <c r="Y210" s="4"/>
      <c r="Z210" s="4"/>
      <c r="AA210" s="4"/>
      <c r="AB210" s="4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4"/>
      <c r="Y211" s="4"/>
      <c r="Z211" s="4"/>
      <c r="AA211" s="4"/>
      <c r="AB211" s="4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4"/>
      <c r="Y212" s="4"/>
      <c r="Z212" s="4"/>
      <c r="AA212" s="4"/>
      <c r="AB212" s="4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4"/>
      <c r="Y213" s="4"/>
      <c r="Z213" s="4"/>
      <c r="AA213" s="4"/>
      <c r="AB213" s="4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4"/>
      <c r="Y214" s="4"/>
      <c r="Z214" s="4"/>
      <c r="AA214" s="4"/>
      <c r="AB214" s="4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4"/>
      <c r="Y215" s="4"/>
      <c r="Z215" s="4"/>
      <c r="AA215" s="4"/>
      <c r="AB215" s="4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4"/>
      <c r="Y216" s="4"/>
      <c r="Z216" s="4"/>
      <c r="AA216" s="4"/>
      <c r="AB216" s="4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4"/>
      <c r="Y217" s="4"/>
      <c r="Z217" s="4"/>
      <c r="AA217" s="4"/>
      <c r="AB217" s="4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4"/>
      <c r="Y218" s="4"/>
      <c r="Z218" s="4"/>
      <c r="AA218" s="4"/>
      <c r="AB218" s="4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4"/>
      <c r="Y219" s="4"/>
      <c r="Z219" s="4"/>
      <c r="AA219" s="4"/>
      <c r="AB219" s="4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autoFilter ref="$A$3:$D$13">
    <filterColumn colId="1">
      <filters>
        <filter val="PRJ-001"/>
      </filters>
    </filterColumn>
  </autoFilter>
  <mergeCells count="3">
    <mergeCell ref="A1:V1"/>
    <mergeCell ref="A2:V2"/>
    <mergeCell ref="Y3:AB3"/>
  </mergeCells>
  <dataValidations>
    <dataValidation type="list" allowBlank="1" showErrorMessage="1" sqref="G4:G50 J4:J50">
      <formula1>"Belal,Mahmoud,Hany,Basel,Gebril"</formula1>
    </dataValidation>
    <dataValidation type="list" allowBlank="1" sqref="D4:D50">
      <formula1>"Backlog,In Progress,Done,Cancelled"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2026-01-08T11:47:24Z</dcterms:created>
  <dc:creator>openpyxl</dc:creator>
</cp:coreProperties>
</file>